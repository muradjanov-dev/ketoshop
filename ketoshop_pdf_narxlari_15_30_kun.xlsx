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92aebbc23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qqoslash" sheetId="1" r:id="R2a445dc757234760"/>
    <x:sheet xmlns:r="http://schemas.openxmlformats.org/officeDocument/2006/relationships" name="PDF narxlari" sheetId="2" r:id="R30dee114d78d4f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"/>
    <x:numFmt numFmtId="202" formatCode="0.000"/>
    <x:numFmt numFmtId="203" formatCode="#,##0;(#,##0);–"/>
  </x:numFmts>
  <x:fonts count="8">
    <x:font>
      <x:sz val="11"/>
      <x:name val="Carlito"/>
    </x:font>
    <x:font>
      <x:sz val="10"/>
      <x:color rgb="FF1F2937"/>
      <x:name val="Arial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D4ED8"/>
      <x:name val="Arial"/>
    </x:font>
    <x:font>
      <x:i/>
      <x:sz val="10"/>
      <x:color rgb="FF475569"/>
      <x:name val="Arial"/>
    </x:font>
    <x:font>
      <x:sz val="10"/>
      <x:color rgb="FF166534"/>
      <x:name val="Arial"/>
    </x:font>
    <x:font>
      <x:b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55E53"/>
      </x:patternFill>
    </x:fill>
    <x:fill>
      <x:patternFill patternType="solid">
        <x:fgColor rgb="FFFFF1C2"/>
      </x:patternFill>
    </x:fill>
    <x:fill>
      <x:patternFill patternType="solid">
        <x:fgColor rgb="FFF3F7F6"/>
      </x:patternFill>
    </x:fill>
    <x:fill>
      <x:patternFill patternType="solid">
        <x:fgColor rgb="FFE1EF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202" fontId="4" fillId="0" borderId="0" xfId="0" applyNumberFormat="1" applyFont="1" applyFill="1" applyBorder="1"/>
    <x:xf numFmtId="0" fontId="1" fillId="4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/>
    <x:xf numFmtId="203" fontId="6" fillId="4" borderId="0" xfId="0" applyNumberFormat="1" applyFont="1" applyFill="1" applyBorder="1"/>
    <x:xf numFmtId="0" fontId="1" fillId="5" borderId="0" xfId="0" applyNumberFormat="1" applyFont="1" applyFill="1" applyBorder="1"/>
    <x:xf numFmtId="203" fontId="1" fillId="5" borderId="0" xfId="0" applyNumberFormat="1" applyFont="1" applyFill="1" applyBorder="1"/>
    <x:xf numFmtId="0" fontId="7" fillId="5" borderId="0" xfId="0" applyNumberFormat="1" applyFont="1" applyFill="1" applyBorder="1"/>
    <x:xf numFmtId="203" fontId="7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6f039cfd74d3d" /><Relationship Type="http://schemas.openxmlformats.org/officeDocument/2006/relationships/theme" Target="/xl/theme/theme1.xml" Id="Rfa9e06e624544260" /><Relationship Type="http://schemas.openxmlformats.org/officeDocument/2006/relationships/sharedStrings" Target="/xl/sharedStrings.xml" Id="Ree261b3c8b5c4644" /><Relationship Type="http://schemas.openxmlformats.org/officeDocument/2006/relationships/worksheet" Target="/xl/worksheets/sheet1.xml" Id="R2a445dc757234760" /><Relationship Type="http://schemas.openxmlformats.org/officeDocument/2006/relationships/worksheet" Target="/xl/worksheets/sheet2.xml" Id="R30dee114d78d4f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5E53"/>
  </x:sheetPr>
  <x:sheetViews>
    <x:sheetView showGridLines="0" workbookViewId="0">
      <x:pane xSplit="1" ySplit="20" topLeftCell="B21" activePane="bottomRight" state="frozen"/>
    </x:sheetView>
  </x:sheetViews>
  <x:sheetFormatPr defaultRowHeight="15"/>
  <x:cols>
    <x:col min="1" max="1" width="46" hidden="0" customWidth="1"/>
    <x:col min="2" max="2" width="28" hidden="0" customWidth="1"/>
    <x:col min="3" max="3" width="8" hidden="0" customWidth="1"/>
    <x:col min="4" max="4" width="19" hidden="0" customWidth="1"/>
    <x:col min="5" max="5" width="19" hidden="0" customWidth="1"/>
    <x:col min="6" max="6" width="14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4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80" hidden="0" customWidth="1"/>
    <x:col min="17" max="17" width="20" hidden="0" customWidth="1"/>
    <x:col min="18" max="18" width="20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5" customHeight="1">
      <x:c r="A2" s="2" t="str">
        <x:v>Ketoshop: PDF narxlarida sotuv hisobi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5" customHeight="1">
      <x:c r="A4" s="1" t="str">
        <x:v>Bazadan olingan vaqt (Toshkent)</x:v>
      </x:c>
      <x:c r="B4" s="1" t="str">
        <x:v>2026-10-25 20:09:55</x:v>
      </x:c>
      <x:c r="C4" s="1"/>
      <x:c r="D4" s="1" t="str">
        <x:v>Pochta va bankning +1% ustamasi kiritilmagan.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1" t="str">
        <x:v>1 USD, so‘m</x:v>
      </x:c>
      <x:c r="B5" s="3" t="n">
        <x:f>'PDF narxlari'!B3</x:f>
        <x:v>11838.92</x:v>
      </x:c>
      <x:c r="C5" s="1"/>
      <x:c r="D5" s="1" t="str">
        <x:v>Narx topilmagan va o‘lchovi noaniq qism amaldagi summada qoldi.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36" customHeight="1">
      <x:c r="A7" s="5" t="str">
        <x:v>Ko‘rsatkich</x:v>
      </x:c>
      <x:c r="B7" s="5" t="str">
        <x:v>15 kun: 11.10–25.10.2026</x:v>
      </x:c>
      <x:c r="C7" s="1"/>
      <x:c r="D7" s="6" t="str">
        <x:v>30 kun: 26.09–25.10.2026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5" customHeight="1">
      <x:c r="A8" s="1" t="str">
        <x:v>Amaldagi mahsulot savdosi</x:v>
      </x:c>
      <x:c r="B8" s="17" t="n">
        <x:f>G140</x:f>
        <x:v>47250510</x:v>
      </x:c>
      <x:c r="C8" s="17"/>
      <x:c r="D8" s="17" t="n">
        <x:f>L140</x:f>
        <x:v>75867900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25" customHeight="1">
      <x:c r="A9" s="27" t="str">
        <x:v>Yangi ssenariy: quyi summa</x:v>
      </x:c>
      <x:c r="B9" s="28" t="n">
        <x:f>I140</x:f>
        <x:v>38352543</x:v>
      </x:c>
      <x:c r="C9" s="28"/>
      <x:c r="D9" s="28" t="n">
        <x:f>N140</x:f>
        <x:v>60532135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5" customHeight="1">
      <x:c r="A10" s="27" t="str">
        <x:v>Yangi ssenariy: yuqori summa</x:v>
      </x:c>
      <x:c r="B10" s="28" t="n">
        <x:f>J140</x:f>
        <x:v>38361543</x:v>
      </x:c>
      <x:c r="C10" s="28"/>
      <x:c r="D10" s="28" t="n">
        <x:f>O140</x:f>
        <x:v>60547135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1" t="str">
        <x:v>Savdo summasi kamayishi: kamida</x:v>
      </x:c>
      <x:c r="B11" s="17" t="n">
        <x:f>B8-B10</x:f>
        <x:v>8888967</x:v>
      </x:c>
      <x:c r="C11" s="17"/>
      <x:c r="D11" s="17" t="n">
        <x:f>D8-D10</x:f>
        <x:v>15320765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5" customHeight="1">
      <x:c r="A12" s="1" t="str">
        <x:v>Savdo summasi kamayishi: ko‘pi bilan</x:v>
      </x:c>
      <x:c r="B12" s="17" t="n">
        <x:f>B8-B9</x:f>
        <x:v>8897967</x:v>
      </x:c>
      <x:c r="C12" s="17"/>
      <x:c r="D12" s="17" t="n">
        <x:f>D8-D9</x:f>
        <x:v>15335765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5" customHeight="1">
      <x:c r="A13" s="1" t="str">
        <x:v>PDF bilan hisoblangan mahsulot turlari</x:v>
      </x:c>
      <x:c r="B13" s="17" t="n">
        <x:f>COUNTIFS(F21:F139,"&gt;0")</x:f>
        <x:v>85</x:v>
      </x:c>
      <x:c r="C13" s="17"/>
      <x:c r="D13" s="17" t="n">
        <x:f>COUNTIFS(K21:K139,"&gt;0")</x:f>
        <x:v>92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5" customHeight="1">
      <x:c r="A14" s="1" t="str">
        <x:v>Amaldagi summada qoldirilgan qism</x:v>
      </x:c>
      <x:c r="B14" s="17" t="n">
        <x:f>H140</x:f>
        <x:v>8648000</x:v>
      </x:c>
      <x:c r="C14" s="17"/>
      <x:c r="D14" s="17" t="n">
        <x:f>M140</x:f>
        <x:v>12431200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5" customHeight="1">
      <x:c r="A15" s="1" t="str">
        <x:v>Faqat PDF bilan hisoblangan qism: quyi</x:v>
      </x:c>
      <x:c r="B15" s="17" t="n">
        <x:f>B9-B14</x:f>
        <x:v>29704543</x:v>
      </x:c>
      <x:c r="C15" s="17"/>
      <x:c r="D15" s="17" t="n">
        <x:f>D9-D14</x:f>
        <x:v>48100935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5" customHeight="1">
      <x:c r="A16" s="1" t="str">
        <x:v>Faqat PDF bilan hisoblangan qism: yuqori</x:v>
      </x:c>
      <x:c r="B16" s="17" t="n">
        <x:f>B10-B14</x:f>
        <x:v>29713543</x:v>
      </x:c>
      <x:c r="C16" s="17"/>
      <x:c r="D16" s="17" t="n">
        <x:f>D10-D14</x:f>
        <x:v>48115935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5" customHeight="1">
      <x:c r="A18" s="13" t="str">
        <x:v>Stevia 200/500/1000 g = blend; qovurish yog‘i 1 l = Pomace; brendli unlar shu xomashyo narxiga moslashtirildi.</x:v>
      </x:c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</x:row>
    <x:row r="19" ht="25" customHeight="1">
      <x:c r="A19" s="13" t="str">
        <x:v>B2B kg miqdorlari kg; dona miqdorlari qadoq deb olindi. B2B g yozilgan pastalar noaniq qismi o‘z summasida qoldi.</x:v>
      </x:c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</x:row>
    <x:row r="20" ht="44" customHeight="1">
      <x:c r="A20" s="6" t="str">
        <x:v>Mahsulot</x:v>
      </x:c>
      <x:c r="B20" s="6" t="str">
        <x:v>PDFdagi mahsulot</x:v>
      </x:c>
      <x:c r="C20" s="6" t="str">
        <x:v>Birlik</x:v>
      </x:c>
      <x:c r="D20" s="6" t="str">
        <x:v>PDF: quyi / birlik</x:v>
      </x:c>
      <x:c r="E20" s="6" t="str">
        <x:v>PDF: yuqori / birlik</x:v>
      </x:c>
      <x:c r="F20" s="6" t="str">
        <x:v>15 kun: kg/l</x:v>
      </x:c>
      <x:c r="G20" s="6" t="str">
        <x:v>15 kun: amalda</x:v>
      </x:c>
      <x:c r="H20" s="6" t="str">
        <x:v>15 kun: o‘z summasida</x:v>
      </x:c>
      <x:c r="I20" s="6" t="str">
        <x:v>15 kun: yangi quyi</x:v>
      </x:c>
      <x:c r="J20" s="6" t="str">
        <x:v>15 kun: yangi yuqori</x:v>
      </x:c>
      <x:c r="K20" s="6" t="str">
        <x:v>30 kun: kg/l</x:v>
      </x:c>
      <x:c r="L20" s="6" t="str">
        <x:v>30 kun: amalda</x:v>
      </x:c>
      <x:c r="M20" s="6" t="str">
        <x:v>30 kun: o‘z summasida</x:v>
      </x:c>
      <x:c r="N20" s="6" t="str">
        <x:v>30 kun: yangi quyi</x:v>
      </x:c>
      <x:c r="O20" s="6" t="str">
        <x:v>30 kun: yangi yuqori</x:v>
      </x:c>
      <x:c r="P20" s="6" t="str">
        <x:v>Moslashtirish izohi</x:v>
      </x:c>
      <x:c r="Q20" s="6" t="str">
        <x:v>15 kun: statistika miqdori</x:v>
      </x:c>
      <x:c r="R20" s="6" t="str">
        <x:v>30 kun: statistika miqdori</x:v>
      </x:c>
    </x:row>
    <x:row r="21" ht="42" customHeight="1">
      <x:c r="A21" s="21" t="str">
        <x:v>Bodom uni 1000gr</x:v>
      </x:c>
      <x:c r="B21" s="21" t="str">
        <x:v>Bodom uni</x:v>
      </x:c>
      <x:c r="C21" s="1" t="str">
        <x:v>kg</x:v>
      </x:c>
      <x:c r="D21" s="23" t="n">
        <x:f>'PDF narxlari'!G24</x:f>
        <x:v>145000</x:v>
      </x:c>
      <x:c r="E21" s="23" t="n">
        <x:f>'PDF narxlari'!H24</x:f>
        <x:v>145000</x:v>
      </x:c>
      <x:c r="F21" s="19" t="n">
        <x:v>48</x:v>
      </x:c>
      <x:c r="G21" s="17" t="n">
        <x:v>7731000</x:v>
      </x:c>
      <x:c r="H21" s="17" t="n">
        <x:v>0</x:v>
      </x:c>
      <x:c r="I21" s="17" t="n">
        <x:f>ROUND(F21*D21,0)+H21</x:f>
        <x:v>6960000</x:v>
      </x:c>
      <x:c r="J21" s="17" t="n">
        <x:f>ROUND(F21*E21,0)+H21</x:f>
        <x:v>6960000</x:v>
      </x:c>
      <x:c r="K21" s="19" t="n">
        <x:v>76</x:v>
      </x:c>
      <x:c r="L21" s="17" t="n">
        <x:v>12340000</x:v>
      </x:c>
      <x:c r="M21" s="17" t="n">
        <x:v>0</x:v>
      </x:c>
      <x:c r="N21" s="17" t="n">
        <x:f>ROUND(K21*D21,0)+M21</x:f>
        <x:v>11020000</x:v>
      </x:c>
      <x:c r="O21" s="17" t="n">
        <x:f>ROUND(K21*E21,0)+M21</x:f>
        <x:v>11020000</x:v>
      </x:c>
      <x:c r="P21" s="21" t="str"/>
      <x:c r="Q21" s="15" t="n">
        <x:v>48</x:v>
      </x:c>
      <x:c r="R21" s="15" t="n">
        <x:v>76</x:v>
      </x:c>
    </x:row>
    <x:row r="22" ht="42" customHeight="1">
      <x:c r="A22" s="22" t="str">
        <x:v>Stevia 1000g</x:v>
      </x:c>
      <x:c r="B22" s="22" t="str">
        <x:v>Stevia blend</x:v>
      </x:c>
      <x:c r="C22" s="16" t="str">
        <x:v>kg</x:v>
      </x:c>
      <x:c r="D22" s="24" t="n">
        <x:f>'PDF narxlari'!G51</x:f>
        <x:v>90000</x:v>
      </x:c>
      <x:c r="E22" s="24" t="n">
        <x:f>'PDF narxlari'!H51</x:f>
        <x:v>90000</x:v>
      </x:c>
      <x:c r="F22" s="20" t="n">
        <x:v>24</x:v>
      </x:c>
      <x:c r="G22" s="18" t="n">
        <x:v>3230000</x:v>
      </x:c>
      <x:c r="H22" s="18" t="n">
        <x:v>0</x:v>
      </x:c>
      <x:c r="I22" s="18" t="n">
        <x:f>ROUND(F22*D22,0)+H22</x:f>
        <x:v>2160000</x:v>
      </x:c>
      <x:c r="J22" s="18" t="n">
        <x:f>ROUND(F22*E22,0)+H22</x:f>
        <x:v>2160000</x:v>
      </x:c>
      <x:c r="K22" s="20" t="n">
        <x:v>30</x:v>
      </x:c>
      <x:c r="L22" s="18" t="n">
        <x:v>4085000</x:v>
      </x:c>
      <x:c r="M22" s="18" t="n">
        <x:v>0</x:v>
      </x:c>
      <x:c r="N22" s="18" t="n">
        <x:f>ROUND(K22*D22,0)+M22</x:f>
        <x:v>2700000</x:v>
      </x:c>
      <x:c r="O22" s="18" t="n">
        <x:f>ROUND(K22*E22,0)+M22</x:f>
        <x:v>2700000</x:v>
      </x:c>
      <x:c r="P22" s="22" t="str">
        <x:v>B2B birligi dona: qadoq soni deb olindi Oddiy Stevia qadoqlari blend deb olindi; sof stevia alohida.</x:v>
      </x:c>
      <x:c r="Q22" s="15" t="n">
        <x:v>24</x:v>
      </x:c>
      <x:c r="R22" s="15" t="n">
        <x:v>30</x:v>
      </x:c>
    </x:row>
    <x:row r="23" ht="42" customHeight="1">
      <x:c r="A23" s="21" t="str">
        <x:v>Alluloza 1000gr</x:v>
      </x:c>
      <x:c r="B23" s="21" t="str">
        <x:v>Alluloza</x:v>
      </x:c>
      <x:c r="C23" s="1" t="str">
        <x:v>kg</x:v>
      </x:c>
      <x:c r="D23" s="23" t="n">
        <x:f>'PDF narxlari'!G53</x:f>
        <x:v>220000</x:v>
      </x:c>
      <x:c r="E23" s="23" t="n">
        <x:f>'PDF narxlari'!H53</x:f>
        <x:v>220000</x:v>
      </x:c>
      <x:c r="F23" s="19" t="n">
        <x:v>10</x:v>
      </x:c>
      <x:c r="G23" s="17" t="n">
        <x:v>2504700</x:v>
      </x:c>
      <x:c r="H23" s="17" t="n">
        <x:v>0</x:v>
      </x:c>
      <x:c r="I23" s="17" t="n">
        <x:f>ROUND(F23*D23,0)+H23</x:f>
        <x:v>2200000</x:v>
      </x:c>
      <x:c r="J23" s="17" t="n">
        <x:f>ROUND(F23*E23,0)+H23</x:f>
        <x:v>2200000</x:v>
      </x:c>
      <x:c r="K23" s="19" t="n">
        <x:v>15</x:v>
      </x:c>
      <x:c r="L23" s="17" t="n">
        <x:v>3670700</x:v>
      </x:c>
      <x:c r="M23" s="17" t="n">
        <x:v>0</x:v>
      </x:c>
      <x:c r="N23" s="17" t="n">
        <x:f>ROUND(K23*D23,0)+M23</x:f>
        <x:v>3300000</x:v>
      </x:c>
      <x:c r="O23" s="17" t="n">
        <x:f>ROUND(K23*E23,0)+M23</x:f>
        <x:v>3300000</x:v>
      </x:c>
      <x:c r="P23" s="21" t="str">
        <x:v>B2B birligi dona: qadoq soni deb olindi</x:v>
      </x:c>
      <x:c r="Q23" s="15" t="n">
        <x:v>10</x:v>
      </x:c>
      <x:c r="R23" s="15" t="n">
        <x:v>15</x:v>
      </x:c>
    </x:row>
    <x:row r="24" ht="42" customHeight="1">
      <x:c r="A24" s="22" t="str">
        <x:v>Eritrtitol 1000gr</x:v>
      </x:c>
      <x:c r="B24" s="22" t="str">
        <x:v>Eritritol</x:v>
      </x:c>
      <x:c r="C24" s="16" t="str">
        <x:v>kg</x:v>
      </x:c>
      <x:c r="D24" s="24" t="n">
        <x:f>'PDF narxlari'!G52</x:f>
        <x:v>75000</x:v>
      </x:c>
      <x:c r="E24" s="24" t="n">
        <x:f>'PDF narxlari'!H52</x:f>
        <x:v>75000</x:v>
      </x:c>
      <x:c r="F24" s="20" t="n">
        <x:v>3</x:v>
      </x:c>
      <x:c r="G24" s="18" t="n">
        <x:v>390000</x:v>
      </x:c>
      <x:c r="H24" s="18" t="n">
        <x:v>0</x:v>
      </x:c>
      <x:c r="I24" s="18" t="n">
        <x:f>ROUND(F24*D24,0)+H24</x:f>
        <x:v>225000</x:v>
      </x:c>
      <x:c r="J24" s="18" t="n">
        <x:f>ROUND(F24*E24,0)+H24</x:f>
        <x:v>225000</x:v>
      </x:c>
      <x:c r="K24" s="20" t="n">
        <x:v>35</x:v>
      </x:c>
      <x:c r="L24" s="18" t="n">
        <x:v>3292000</x:v>
      </x:c>
      <x:c r="M24" s="18" t="n">
        <x:v>0</x:v>
      </x:c>
      <x:c r="N24" s="18" t="n">
        <x:f>ROUND(K24*D24,0)+M24</x:f>
        <x:v>2625000</x:v>
      </x:c>
      <x:c r="O24" s="18" t="n">
        <x:f>ROUND(K24*E24,0)+M24</x:f>
        <x:v>2625000</x:v>
      </x:c>
      <x:c r="P24" s="22" t="str">
        <x:v>B2B birligi dona: qadoq soni deb olindi</x:v>
      </x:c>
      <x:c r="Q24" s="15" t="n">
        <x:v>3</x:v>
      </x:c>
      <x:c r="R24" s="15" t="n">
        <x:v>35</x:v>
      </x:c>
    </x:row>
    <x:row r="25" ht="42" customHeight="1">
      <x:c r="A25" s="21" t="str">
        <x:v>Psillium uni 300gr</x:v>
      </x:c>
      <x:c r="B25" s="21" t="str">
        <x:v>Psillium uni</x:v>
      </x:c>
      <x:c r="C25" s="1" t="str">
        <x:v>kg</x:v>
      </x:c>
      <x:c r="D25" s="23" t="n">
        <x:f>'PDF narxlari'!G26</x:f>
        <x:v>220000</x:v>
      </x:c>
      <x:c r="E25" s="23" t="n">
        <x:f>'PDF narxlari'!H26</x:f>
        <x:v>220000</x:v>
      </x:c>
      <x:c r="F25" s="19" t="n">
        <x:v>3.3</x:v>
      </x:c>
      <x:c r="G25" s="17" t="n">
        <x:v>1325000</x:v>
      </x:c>
      <x:c r="H25" s="17" t="n">
        <x:v>0</x:v>
      </x:c>
      <x:c r="I25" s="17" t="n">
        <x:f>ROUND(F25*D25,0)+H25</x:f>
        <x:v>726000</x:v>
      </x:c>
      <x:c r="J25" s="17" t="n">
        <x:f>ROUND(F25*E25,0)+H25</x:f>
        <x:v>726000</x:v>
      </x:c>
      <x:c r="K25" s="19" t="n">
        <x:v>8.4</x:v>
      </x:c>
      <x:c r="L25" s="17" t="n">
        <x:v>3275000</x:v>
      </x:c>
      <x:c r="M25" s="17" t="n">
        <x:v>0</x:v>
      </x:c>
      <x:c r="N25" s="17" t="n">
        <x:f>ROUND(K25*D25,0)+M25</x:f>
        <x:v>1848000</x:v>
      </x:c>
      <x:c r="O25" s="17" t="n">
        <x:f>ROUND(K25*E25,0)+M25</x:f>
        <x:v>1848000</x:v>
      </x:c>
      <x:c r="P25" s="21" t="str"/>
      <x:c r="Q25" s="15" t="n">
        <x:v>11</x:v>
      </x:c>
      <x:c r="R25" s="15" t="n">
        <x:v>28</x:v>
      </x:c>
    </x:row>
    <x:row r="26" ht="42" customHeight="1">
      <x:c r="A26" s="22" t="str">
        <x:v>kokos uni 1000gr</x:v>
      </x:c>
      <x:c r="B26" s="22" t="str">
        <x:v>Kokos uni</x:v>
      </x:c>
      <x:c r="C26" s="16" t="str">
        <x:v>kg</x:v>
      </x:c>
      <x:c r="D26" s="24" t="n">
        <x:f>'PDF narxlari'!G18</x:f>
        <x:v>61000</x:v>
      </x:c>
      <x:c r="E26" s="24" t="n">
        <x:f>'PDF narxlari'!H18</x:f>
        <x:v>61000</x:v>
      </x:c>
      <x:c r="F26" s="20" t="n">
        <x:v>22</x:v>
      </x:c>
      <x:c r="G26" s="18" t="n">
        <x:v>1705500</x:v>
      </x:c>
      <x:c r="H26" s="18" t="n">
        <x:v>0</x:v>
      </x:c>
      <x:c r="I26" s="18" t="n">
        <x:f>ROUND(F26*D26,0)+H26</x:f>
        <x:v>1342000</x:v>
      </x:c>
      <x:c r="J26" s="18" t="n">
        <x:f>ROUND(F26*E26,0)+H26</x:f>
        <x:v>1342000</x:v>
      </x:c>
      <x:c r="K26" s="20" t="n">
        <x:v>30</x:v>
      </x:c>
      <x:c r="L26" s="18" t="n">
        <x:v>2385500</x:v>
      </x:c>
      <x:c r="M26" s="18" t="n">
        <x:v>0</x:v>
      </x:c>
      <x:c r="N26" s="18" t="n">
        <x:f>ROUND(K26*D26,0)+M26</x:f>
        <x:v>1830000</x:v>
      </x:c>
      <x:c r="O26" s="18" t="n">
        <x:f>ROUND(K26*E26,0)+M26</x:f>
        <x:v>1830000</x:v>
      </x:c>
      <x:c r="P26" s="22" t="str"/>
      <x:c r="Q26" s="15" t="n">
        <x:v>22</x:v>
      </x:c>
      <x:c r="R26" s="15" t="n">
        <x:v>30</x:v>
      </x:c>
    </x:row>
    <x:row r="27" ht="42" customHeight="1">
      <x:c r="A27" s="21" t="str">
        <x:v>Kepakli bug'doy uni</x:v>
      </x:c>
      <x:c r="B27" s="21" t="str">
        <x:v>Kepakli bug'doy uni</x:v>
      </x:c>
      <x:c r="C27" s="1" t="str">
        <x:v>kg</x:v>
      </x:c>
      <x:c r="D27" s="23" t="n">
        <x:f>'PDF narxlari'!G10</x:f>
        <x:v>6300</x:v>
      </x:c>
      <x:c r="E27" s="23" t="n">
        <x:f>'PDF narxlari'!H10</x:f>
        <x:v>6300</x:v>
      </x:c>
      <x:c r="F27" s="19" t="n">
        <x:v>163</x:v>
      </x:c>
      <x:c r="G27" s="17" t="n">
        <x:v>1475000</x:v>
      </x:c>
      <x:c r="H27" s="17" t="n">
        <x:v>0</x:v>
      </x:c>
      <x:c r="I27" s="17" t="n">
        <x:f>ROUND(F27*D27,0)+H27</x:f>
        <x:v>1026900</x:v>
      </x:c>
      <x:c r="J27" s="17" t="n">
        <x:f>ROUND(F27*E27,0)+H27</x:f>
        <x:v>1026900</x:v>
      </x:c>
      <x:c r="K27" s="19" t="n">
        <x:v>221</x:v>
      </x:c>
      <x:c r="L27" s="17" t="n">
        <x:v>1979000</x:v>
      </x:c>
      <x:c r="M27" s="17" t="n">
        <x:v>0</x:v>
      </x:c>
      <x:c r="N27" s="17" t="n">
        <x:f>ROUND(K27*D27,0)+M27</x:f>
        <x:v>1392300</x:v>
      </x:c>
      <x:c r="O27" s="17" t="n">
        <x:f>ROUND(K27*E27,0)+M27</x:f>
        <x:v>1392300</x:v>
      </x:c>
      <x:c r="P27" s="21" t="str">
        <x:v>115: brendli un o'rniga shu turdagi xomashyo narxi. Nomda vazn yo‘q; saqlangan kg birligi olindi</x:v>
      </x:c>
      <x:c r="Q27" s="15" t="n">
        <x:v>163</x:v>
      </x:c>
      <x:c r="R27" s="15" t="n">
        <x:v>221</x:v>
      </x:c>
    </x:row>
    <x:row r="28" ht="42" customHeight="1">
      <x:c r="A28" s="22" t="str">
        <x:v>Qizil guruch (Devzira) (bo'yalmagan, yog'lanmagan) 1000gr</x:v>
      </x:c>
      <x:c r="B28" s="22" t="str">
        <x:v>Devzira guruchi</x:v>
      </x:c>
      <x:c r="C28" s="16" t="str">
        <x:v>kg</x:v>
      </x:c>
      <x:c r="D28" s="24" t="n">
        <x:f>'PDF narxlari'!G28</x:f>
        <x:v>45000</x:v>
      </x:c>
      <x:c r="E28" s="24" t="n">
        <x:f>'PDF narxlari'!H28</x:f>
        <x:v>45000</x:v>
      </x:c>
      <x:c r="F28" s="20" t="n">
        <x:v>21</x:v>
      </x:c>
      <x:c r="G28" s="18" t="n">
        <x:v>1094800</x:v>
      </x:c>
      <x:c r="H28" s="18" t="n">
        <x:v>0</x:v>
      </x:c>
      <x:c r="I28" s="18" t="n">
        <x:f>ROUND(F28*D28,0)+H28</x:f>
        <x:v>945000</x:v>
      </x:c>
      <x:c r="J28" s="18" t="n">
        <x:f>ROUND(F28*E28,0)+H28</x:f>
        <x:v>945000</x:v>
      </x:c>
      <x:c r="K28" s="20" t="n">
        <x:v>36</x:v>
      </x:c>
      <x:c r="L28" s="18" t="n">
        <x:v>1934800</x:v>
      </x:c>
      <x:c r="M28" s="18" t="n">
        <x:v>0</x:v>
      </x:c>
      <x:c r="N28" s="18" t="n">
        <x:f>ROUND(K28*D28,0)+M28</x:f>
        <x:v>1620000</x:v>
      </x:c>
      <x:c r="O28" s="18" t="n">
        <x:f>ROUND(K28*E28,0)+M28</x:f>
        <x:v>1620000</x:v>
      </x:c>
      <x:c r="P28" s="22" t="str"/>
      <x:c r="Q28" s="15" t="n">
        <x:v>21</x:v>
      </x:c>
      <x:c r="R28" s="15" t="n">
        <x:v>36</x:v>
      </x:c>
    </x:row>
    <x:row r="29" ht="42" customHeight="1">
      <x:c r="A29" s="21" t="str">
        <x:v>Zaytun yog‘i Ispaniya (5 l, qovurish uchun)</x:v>
      </x:c>
      <x:c r="B29" s="21" t="str">
        <x:v>Narx qo‘llanmagan</x:v>
      </x:c>
      <x:c r="C29" s="1" t="str"/>
      <x:c r="D29" s="23"/>
      <x:c r="E29" s="23"/>
      <x:c r="F29" s="19" t="n">
        <x:v>0</x:v>
      </x:c>
      <x:c r="G29" s="17" t="n">
        <x:v>1542500</x:v>
      </x:c>
      <x:c r="H29" s="17" t="n">
        <x:v>1542500</x:v>
      </x:c>
      <x:c r="I29" s="17" t="n">
        <x:f>G29</x:f>
        <x:v>1542500</x:v>
      </x:c>
      <x:c r="J29" s="17" t="n">
        <x:f>G29</x:f>
        <x:v>1542500</x:v>
      </x:c>
      <x:c r="K29" s="19" t="n">
        <x:v>0</x:v>
      </x:c>
      <x:c r="L29" s="17" t="n">
        <x:v>1877500</x:v>
      </x:c>
      <x:c r="M29" s="17" t="n">
        <x:v>1877500</x:v>
      </x:c>
      <x:c r="N29" s="17" t="n">
        <x:f>L29</x:f>
        <x:v>1877500</x:v>
      </x:c>
      <x:c r="O29" s="17" t="n">
        <x:f>L29</x:f>
        <x:v>1877500</x:v>
      </x:c>
      <x:c r="P29" s="21" t="str">
        <x:v>5 litrli yog'ning brendi noma'lum; PDFda Pantheon/Muelolivia narxlari farqli</x:v>
      </x:c>
      <x:c r="Q29" s="15" t="n">
        <x:v>5</x:v>
      </x:c>
      <x:c r="R29" s="15" t="n">
        <x:v>6</x:v>
      </x:c>
    </x:row>
    <x:row r="30" ht="42" customHeight="1">
      <x:c r="A30" s="22" t="str">
        <x:v>Bodom uni 500gr</x:v>
      </x:c>
      <x:c r="B30" s="22" t="str">
        <x:v>Bodom uni</x:v>
      </x:c>
      <x:c r="C30" s="16" t="str">
        <x:v>kg</x:v>
      </x:c>
      <x:c r="D30" s="24" t="n">
        <x:f>'PDF narxlari'!G24</x:f>
        <x:v>145000</x:v>
      </x:c>
      <x:c r="E30" s="24" t="n">
        <x:f>'PDF narxlari'!H24</x:f>
        <x:v>145000</x:v>
      </x:c>
      <x:c r="F30" s="20" t="n">
        <x:v>4.5</x:v>
      </x:c>
      <x:c r="G30" s="18" t="n">
        <x:v>756900</x:v>
      </x:c>
      <x:c r="H30" s="18" t="n">
        <x:v>0</x:v>
      </x:c>
      <x:c r="I30" s="18" t="n">
        <x:f>ROUND(F30*D30,0)+H30</x:f>
        <x:v>652500</x:v>
      </x:c>
      <x:c r="J30" s="18" t="n">
        <x:f>ROUND(F30*E30,0)+H30</x:f>
        <x:v>652500</x:v>
      </x:c>
      <x:c r="K30" s="20" t="n">
        <x:v>10.5</x:v>
      </x:c>
      <x:c r="L30" s="18" t="n">
        <x:v>1792200</x:v>
      </x:c>
      <x:c r="M30" s="18" t="n">
        <x:v>0</x:v>
      </x:c>
      <x:c r="N30" s="18" t="n">
        <x:f>ROUND(K30*D30,0)+M30</x:f>
        <x:v>1522500</x:v>
      </x:c>
      <x:c r="O30" s="18" t="n">
        <x:f>ROUND(K30*E30,0)+M30</x:f>
        <x:v>1522500</x:v>
      </x:c>
      <x:c r="P30" s="22" t="str"/>
      <x:c r="Q30" s="15" t="n">
        <x:v>9</x:v>
      </x:c>
      <x:c r="R30" s="15" t="n">
        <x:v>21</x:v>
      </x:c>
    </x:row>
    <x:row r="31" ht="42" customHeight="1">
      <x:c r="A31" s="21" t="str">
        <x:v>Lasos baliq tushonkasi 700ml</x:v>
      </x:c>
      <x:c r="B31" s="21" t="str">
        <x:v>Narx qo‘llanmagan</x:v>
      </x:c>
      <x:c r="C31" s="1" t="str"/>
      <x:c r="D31" s="23"/>
      <x:c r="E31" s="23"/>
      <x:c r="F31" s="19" t="n">
        <x:v>0</x:v>
      </x:c>
      <x:c r="G31" s="17" t="n">
        <x:v>1717500</x:v>
      </x:c>
      <x:c r="H31" s="17" t="n">
        <x:v>1717500</x:v>
      </x:c>
      <x:c r="I31" s="17" t="n">
        <x:f>G31</x:f>
        <x:v>1717500</x:v>
      </x:c>
      <x:c r="J31" s="17" t="n">
        <x:f>G31</x:f>
        <x:v>1717500</x:v>
      </x:c>
      <x:c r="K31" s="19" t="n">
        <x:v>0</x:v>
      </x:c>
      <x:c r="L31" s="17" t="n">
        <x:v>1717500</x:v>
      </x:c>
      <x:c r="M31" s="17" t="n">
        <x:v>1717500</x:v>
      </x:c>
      <x:c r="N31" s="17" t="n">
        <x:f>L31</x:f>
        <x:v>1717500</x:v>
      </x:c>
      <x:c r="O31" s="17" t="n">
        <x:f>L31</x:f>
        <x:v>1717500</x:v>
      </x:c>
      <x:c r="P31" s="21" t="str">
        <x:v>PDFda baliq tushonkasi yo'q</x:v>
      </x:c>
      <x:c r="Q31" s="15" t="n">
        <x:v>21</x:v>
      </x:c>
      <x:c r="R31" s="15" t="n">
        <x:v>21</x:v>
      </x:c>
    </x:row>
    <x:row r="32" ht="42" customHeight="1">
      <x:c r="A32" s="22" t="str">
        <x:v>Tabiiy GHEE 1000ml</x:v>
      </x:c>
      <x:c r="B32" s="22" t="str">
        <x:v>Ghee</x:v>
      </x:c>
      <x:c r="C32" s="16" t="str">
        <x:v>l</x:v>
      </x:c>
      <x:c r="D32" s="24" t="n">
        <x:f>'PDF narxlari'!G48</x:f>
        <x:v>95000</x:v>
      </x:c>
      <x:c r="E32" s="24" t="n">
        <x:f>'PDF narxlari'!H48</x:f>
        <x:v>95000</x:v>
      </x:c>
      <x:c r="F32" s="20" t="n">
        <x:v>12</x:v>
      </x:c>
      <x:c r="G32" s="18" t="n">
        <x:v>1403000</x:v>
      </x:c>
      <x:c r="H32" s="18" t="n">
        <x:v>0</x:v>
      </x:c>
      <x:c r="I32" s="18" t="n">
        <x:f>ROUND(F32*D32,0)+H32</x:f>
        <x:v>1140000</x:v>
      </x:c>
      <x:c r="J32" s="18" t="n">
        <x:f>ROUND(F32*E32,0)+H32</x:f>
        <x:v>1140000</x:v>
      </x:c>
      <x:c r="K32" s="20" t="n">
        <x:v>14</x:v>
      </x:c>
      <x:c r="L32" s="18" t="n">
        <x:v>1634800</x:v>
      </x:c>
      <x:c r="M32" s="18" t="n">
        <x:v>0</x:v>
      </x:c>
      <x:c r="N32" s="18" t="n">
        <x:f>ROUND(K32*D32,0)+M32</x:f>
        <x:v>1330000</x:v>
      </x:c>
      <x:c r="O32" s="18" t="n">
        <x:f>ROUND(K32*E32,0)+M32</x:f>
        <x:v>1330000</x:v>
      </x:c>
      <x:c r="P32" s="22" t="str"/>
      <x:c r="Q32" s="15" t="n">
        <x:v>12</x:v>
      </x:c>
      <x:c r="R32" s="15" t="n">
        <x:v>14</x:v>
      </x:c>
    </x:row>
    <x:row r="33" ht="42" customHeight="1">
      <x:c r="A33" s="21" t="str">
        <x:v>Kepak. -o‘rtacha kattalikda (sredniy)</x:v>
      </x:c>
      <x:c r="B33" s="21" t="str">
        <x:v>Narx qo‘llanmagan</x:v>
      </x:c>
      <x:c r="C33" s="1" t="str"/>
      <x:c r="D33" s="23"/>
      <x:c r="E33" s="23"/>
      <x:c r="F33" s="19" t="n">
        <x:v>0</x:v>
      </x:c>
      <x:c r="G33" s="17" t="n">
        <x:v>1184000</x:v>
      </x:c>
      <x:c r="H33" s="17" t="n">
        <x:v>1184000</x:v>
      </x:c>
      <x:c r="I33" s="17" t="n">
        <x:f>G33</x:f>
        <x:v>1184000</x:v>
      </x:c>
      <x:c r="J33" s="17" t="n">
        <x:f>G33</x:f>
        <x:v>1184000</x:v>
      </x:c>
      <x:c r="K33" s="19" t="n">
        <x:v>0</x:v>
      </x:c>
      <x:c r="L33" s="17" t="n">
        <x:v>1612000</x:v>
      </x:c>
      <x:c r="M33" s="17" t="n">
        <x:v>1612000</x:v>
      </x:c>
      <x:c r="N33" s="17" t="n">
        <x:f>L33</x:f>
        <x:v>1612000</x:v>
      </x:c>
      <x:c r="O33" s="17" t="n">
        <x:f>L33</x:f>
        <x:v>1612000</x:v>
      </x:c>
      <x:c r="P33" s="21" t="str">
        <x:v>Sredniy kepak; PDFdagi mayda kepak bilan bir xil emas</x:v>
      </x:c>
      <x:c r="Q33" s="15" t="n">
        <x:v>143</x:v>
      </x:c>
      <x:c r="R33" s="15" t="n">
        <x:v>186</x:v>
      </x:c>
    </x:row>
    <x:row r="34" ht="42" customHeight="1">
      <x:c r="A34" s="22" t="str">
        <x:v>Xandonpista pastasi 200gr</x:v>
      </x:c>
      <x:c r="B34" s="22" t="str">
        <x:v>Fistashka pastasi</x:v>
      </x:c>
      <x:c r="C34" s="16" t="str">
        <x:v>kg</x:v>
      </x:c>
      <x:c r="D34" s="24" t="n">
        <x:f>'PDF narxlari'!G58</x:f>
        <x:v>425000</x:v>
      </x:c>
      <x:c r="E34" s="24" t="n">
        <x:f>'PDF narxlari'!H58</x:f>
        <x:v>425000</x:v>
      </x:c>
      <x:c r="F34" s="20" t="n">
        <x:v>1.4</x:v>
      </x:c>
      <x:c r="G34" s="18" t="n">
        <x:v>1054000</x:v>
      </x:c>
      <x:c r="H34" s="18" t="n">
        <x:v>340000</x:v>
      </x:c>
      <x:c r="I34" s="18" t="n">
        <x:f>ROUND(F34*D34,0)+H34</x:f>
        <x:v>935000</x:v>
      </x:c>
      <x:c r="J34" s="18" t="n">
        <x:f>ROUND(F34*E34,0)+H34</x:f>
        <x:v>935000</x:v>
      </x:c>
      <x:c r="K34" s="20" t="n">
        <x:v>2</x:v>
      </x:c>
      <x:c r="L34" s="18" t="n">
        <x:v>1358500</x:v>
      </x:c>
      <x:c r="M34" s="18" t="n">
        <x:v>340000</x:v>
      </x:c>
      <x:c r="N34" s="18" t="n">
        <x:f>ROUND(K34*D34,0)+M34</x:f>
        <x:v>1190000</x:v>
      </x:c>
      <x:c r="O34" s="18" t="n">
        <x:f>ROUND(K34*E34,0)+M34</x:f>
        <x:v>1190000</x:v>
      </x:c>
      <x:c r="P34" s="22" t="str">
        <x:v>B2B yozuvida g birligi bor; dona/kg noaniq, shu qism amaldagi summada qoldi</x:v>
      </x:c>
      <x:c r="Q34" s="15" t="n">
        <x:v>11</x:v>
      </x:c>
      <x:c r="R34" s="15" t="n">
        <x:v>14</x:v>
      </x:c>
    </x:row>
    <x:row r="35" ht="42" customHeight="1">
      <x:c r="A35" s="21" t="str">
        <x:v>Stevia 500g</x:v>
      </x:c>
      <x:c r="B35" s="21" t="str">
        <x:v>Stevia blend</x:v>
      </x:c>
      <x:c r="C35" s="1" t="str">
        <x:v>kg</x:v>
      </x:c>
      <x:c r="D35" s="23" t="n">
        <x:f>'PDF narxlari'!G51</x:f>
        <x:v>90000</x:v>
      </x:c>
      <x:c r="E35" s="23" t="n">
        <x:f>'PDF narxlari'!H51</x:f>
        <x:v>90000</x:v>
      </x:c>
      <x:c r="F35" s="19" t="n">
        <x:v>6.5</x:v>
      </x:c>
      <x:c r="G35" s="17" t="n">
        <x:v>942400</x:v>
      </x:c>
      <x:c r="H35" s="17" t="n">
        <x:v>0</x:v>
      </x:c>
      <x:c r="I35" s="17" t="n">
        <x:f>ROUND(F35*D35,0)+H35</x:f>
        <x:v>585000</x:v>
      </x:c>
      <x:c r="J35" s="17" t="n">
        <x:f>ROUND(F35*E35,0)+H35</x:f>
        <x:v>585000</x:v>
      </x:c>
      <x:c r="K35" s="19" t="n">
        <x:v>9</x:v>
      </x:c>
      <x:c r="L35" s="17" t="n">
        <x:v>1307200</x:v>
      </x:c>
      <x:c r="M35" s="17" t="n">
        <x:v>0</x:v>
      </x:c>
      <x:c r="N35" s="17" t="n">
        <x:f>ROUND(K35*D35,0)+M35</x:f>
        <x:v>810000</x:v>
      </x:c>
      <x:c r="O35" s="17" t="n">
        <x:f>ROUND(K35*E35,0)+M35</x:f>
        <x:v>810000</x:v>
      </x:c>
      <x:c r="P35" s="21" t="str">
        <x:v>Oddiy Stevia qadoqlari blend deb olindi; sof stevia alohida.</x:v>
      </x:c>
      <x:c r="Q35" s="15" t="n">
        <x:v>13</x:v>
      </x:c>
      <x:c r="R35" s="15" t="n">
        <x:v>18</x:v>
      </x:c>
    </x:row>
    <x:row r="36" ht="42" customHeight="1">
      <x:c r="A36" s="22" t="str">
        <x:v>Зайтун ёғи совуқ сиқим- Extra vergin</x:v>
      </x:c>
      <x:c r="B36" s="22" t="str">
        <x:v>Narx qo‘llanmagan</x:v>
      </x:c>
      <x:c r="C36" s="16" t="str"/>
      <x:c r="D36" s="24"/>
      <x:c r="E36" s="24"/>
      <x:c r="F36" s="20" t="n">
        <x:v>0</x:v>
      </x:c>
      <x:c r="G36" s="18" t="n">
        <x:v>770400</x:v>
      </x:c>
      <x:c r="H36" s="18" t="n">
        <x:v>770400</x:v>
      </x:c>
      <x:c r="I36" s="18" t="n">
        <x:f>G36</x:f>
        <x:v>770400</x:v>
      </x:c>
      <x:c r="J36" s="18" t="n">
        <x:f>G36</x:f>
        <x:v>770400</x:v>
      </x:c>
      <x:c r="K36" s="20" t="n">
        <x:v>0</x:v>
      </x:c>
      <x:c r="L36" s="18" t="n">
        <x:v>1272400</x:v>
      </x:c>
      <x:c r="M36" s="18" t="n">
        <x:v>1272400</x:v>
      </x:c>
      <x:c r="N36" s="18" t="n">
        <x:f>L36</x:f>
        <x:v>1272400</x:v>
      </x:c>
      <x:c r="O36" s="18" t="n">
        <x:f>L36</x:f>
        <x:v>1272400</x:v>
      </x:c>
      <x:c r="P36" s="22" t="str">
        <x:v>Butilka hajmi ko'rsatilmagan; PDF narxi 500 g uchun</x:v>
      </x:c>
      <x:c r="Q36" s="15" t="n">
        <x:v>12</x:v>
      </x:c>
      <x:c r="R36" s="15" t="n">
        <x:v>20</x:v>
      </x:c>
    </x:row>
    <x:row r="37" ht="42" customHeight="1">
      <x:c r="A37" s="21" t="str">
        <x:v>Psillium sheluxa 150gr</x:v>
      </x:c>
      <x:c r="B37" s="21" t="str">
        <x:v>Psillium sheluxasi</x:v>
      </x:c>
      <x:c r="C37" s="1" t="str">
        <x:v>kg</x:v>
      </x:c>
      <x:c r="D37" s="23" t="n">
        <x:f>'PDF narxlari'!G63</x:f>
        <x:v>210000</x:v>
      </x:c>
      <x:c r="E37" s="23" t="n">
        <x:f>'PDF narxlari'!H63</x:f>
        <x:v>210000</x:v>
      </x:c>
      <x:c r="F37" s="19" t="n">
        <x:v>0.9</x:v>
      </x:c>
      <x:c r="G37" s="17" t="n">
        <x:v>454300</x:v>
      </x:c>
      <x:c r="H37" s="17" t="n">
        <x:v>0</x:v>
      </x:c>
      <x:c r="I37" s="17" t="n">
        <x:f>ROUND(F37*D37,0)+H37</x:f>
        <x:v>189000</x:v>
      </x:c>
      <x:c r="J37" s="17" t="n">
        <x:f>ROUND(F37*E37,0)+H37</x:f>
        <x:v>189000</x:v>
      </x:c>
      <x:c r="K37" s="19" t="n">
        <x:v>2.3055</x:v>
      </x:c>
      <x:c r="L37" s="17" t="n">
        <x:v>1160390</x:v>
      </x:c>
      <x:c r="M37" s="17" t="n">
        <x:v>0</x:v>
      </x:c>
      <x:c r="N37" s="17" t="n">
        <x:f>ROUND(K37*D37,0)+M37</x:f>
        <x:v>484155</x:v>
      </x:c>
      <x:c r="O37" s="17" t="n">
        <x:f>ROUND(K37*E37,0)+M37</x:f>
        <x:v>484155</x:v>
      </x:c>
      <x:c r="P37" s="21" t="str">
        <x:v>Kasr miqdor qadoq ulushi sifatida olindi (statistikadagi yozuv bo‘yicha)</x:v>
      </x:c>
      <x:c r="Q37" s="15" t="n">
        <x:v>6</x:v>
      </x:c>
      <x:c r="R37" s="15" t="n">
        <x:v>15.37</x:v>
      </x:c>
    </x:row>
    <x:row r="38" ht="42" customHeight="1">
      <x:c r="A38" s="22" t="str">
        <x:v>Himalay tuz 1000gr</x:v>
      </x:c>
      <x:c r="B38" s="22" t="str">
        <x:v>Gimalay tuzi</x:v>
      </x:c>
      <x:c r="C38" s="16" t="str">
        <x:v>kg</x:v>
      </x:c>
      <x:c r="D38" s="24" t="n">
        <x:f>'PDF narxlari'!G68</x:f>
        <x:v>20000</x:v>
      </x:c>
      <x:c r="E38" s="24" t="n">
        <x:f>'PDF narxlari'!H68</x:f>
        <x:v>20000</x:v>
      </x:c>
      <x:c r="F38" s="20" t="n">
        <x:v>32</x:v>
      </x:c>
      <x:c r="G38" s="18" t="n">
        <x:v>836400</x:v>
      </x:c>
      <x:c r="H38" s="18" t="n">
        <x:v>0</x:v>
      </x:c>
      <x:c r="I38" s="18" t="n">
        <x:f>ROUND(F38*D38,0)+H38</x:f>
        <x:v>640000</x:v>
      </x:c>
      <x:c r="J38" s="18" t="n">
        <x:f>ROUND(F38*E38,0)+H38</x:f>
        <x:v>640000</x:v>
      </x:c>
      <x:c r="K38" s="20" t="n">
        <x:v>42</x:v>
      </x:c>
      <x:c r="L38" s="18" t="n">
        <x:v>1105200</x:v>
      </x:c>
      <x:c r="M38" s="18" t="n">
        <x:v>0</x:v>
      </x:c>
      <x:c r="N38" s="18" t="n">
        <x:f>ROUND(K38*D38,0)+M38</x:f>
        <x:v>840000</x:v>
      </x:c>
      <x:c r="O38" s="18" t="n">
        <x:f>ROUND(K38*E38,0)+M38</x:f>
        <x:v>840000</x:v>
      </x:c>
      <x:c r="P38" s="22" t="str"/>
      <x:c r="Q38" s="15" t="n">
        <x:v>32</x:v>
      </x:c>
      <x:c r="R38" s="15" t="n">
        <x:v>42</x:v>
      </x:c>
    </x:row>
    <x:row r="39" ht="42" customHeight="1">
      <x:c r="A39" s="21" t="str">
        <x:v>Soya uni</x:v>
      </x:c>
      <x:c r="B39" s="21" t="str">
        <x:v>Narx qo‘llanmagan</x:v>
      </x:c>
      <x:c r="C39" s="1" t="str"/>
      <x:c r="D39" s="23"/>
      <x:c r="E39" s="23"/>
      <x:c r="F39" s="19" t="n">
        <x:v>0</x:v>
      </x:c>
      <x:c r="G39" s="17" t="n">
        <x:v>478400</x:v>
      </x:c>
      <x:c r="H39" s="17" t="n">
        <x:v>478400</x:v>
      </x:c>
      <x:c r="I39" s="17" t="n">
        <x:f>G39</x:f>
        <x:v>478400</x:v>
      </x:c>
      <x:c r="J39" s="17" t="n">
        <x:f>G39</x:f>
        <x:v>478400</x:v>
      </x:c>
      <x:c r="K39" s="19" t="n">
        <x:v>0</x:v>
      </x:c>
      <x:c r="L39" s="17" t="n">
        <x:v>1067200</x:v>
      </x:c>
      <x:c r="M39" s="17" t="n">
        <x:v>1067200</x:v>
      </x:c>
      <x:c r="N39" s="17" t="n">
        <x:f>L39</x:f>
        <x:v>1067200</x:v>
      </x:c>
      <x:c r="O39" s="17" t="n">
        <x:f>L39</x:f>
        <x:v>1067200</x:v>
      </x:c>
      <x:c r="P39" s="21" t="str">
        <x:v>PDFda soya uni yo'q</x:v>
      </x:c>
      <x:c r="Q39" s="15" t="n">
        <x:v>11</x:v>
      </x:c>
      <x:c r="R39" s="15" t="n">
        <x:v>24</x:v>
      </x:c>
    </x:row>
    <x:row r="40" ht="42" customHeight="1">
      <x:c r="A40" s="22" t="str">
        <x:v>No'xat uni</x:v>
      </x:c>
      <x:c r="B40" s="22" t="str">
        <x:v>No'xot uni</x:v>
      </x:c>
      <x:c r="C40" s="16" t="str">
        <x:v>kg</x:v>
      </x:c>
      <x:c r="D40" s="24" t="n">
        <x:f>'PDF narxlari'!G12</x:f>
        <x:v>13000</x:v>
      </x:c>
      <x:c r="E40" s="24" t="n">
        <x:f>'PDF narxlari'!H12</x:f>
        <x:v>13000</x:v>
      </x:c>
      <x:c r="F40" s="20" t="n">
        <x:v>56</x:v>
      </x:c>
      <x:c r="G40" s="18" t="n">
        <x:v>792500</x:v>
      </x:c>
      <x:c r="H40" s="18" t="n">
        <x:v>0</x:v>
      </x:c>
      <x:c r="I40" s="18" t="n">
        <x:f>ROUND(F40*D40,0)+H40</x:f>
        <x:v>728000</x:v>
      </x:c>
      <x:c r="J40" s="18" t="n">
        <x:f>ROUND(F40*E40,0)+H40</x:f>
        <x:v>728000</x:v>
      </x:c>
      <x:c r="K40" s="20" t="n">
        <x:v>59</x:v>
      </x:c>
      <x:c r="L40" s="18" t="n">
        <x:v>867500</x:v>
      </x:c>
      <x:c r="M40" s="18" t="n">
        <x:v>0</x:v>
      </x:c>
      <x:c r="N40" s="18" t="n">
        <x:f>ROUND(K40*D40,0)+M40</x:f>
        <x:v>767000</x:v>
      </x:c>
      <x:c r="O40" s="18" t="n">
        <x:f>ROUND(K40*E40,0)+M40</x:f>
        <x:v>767000</x:v>
      </x:c>
      <x:c r="P40" s="22" t="str">
        <x:v>Nomda vazn yo‘q; saqlangan kg birligi olindi</x:v>
      </x:c>
      <x:c r="Q40" s="15" t="n">
        <x:v>56</x:v>
      </x:c>
      <x:c r="R40" s="15" t="n">
        <x:v>59</x:v>
      </x:c>
    </x:row>
    <x:row r="41" ht="42" customHeight="1">
      <x:c r="A41" s="21" t="str">
        <x:v>Kakao nibs 200gr</x:v>
      </x:c>
      <x:c r="B41" s="21" t="str">
        <x:v>Kakao NIBS</x:v>
      </x:c>
      <x:c r="C41" s="1" t="str">
        <x:v>kg</x:v>
      </x:c>
      <x:c r="D41" s="23" t="n">
        <x:f>'PDF narxlari'!G67</x:f>
        <x:v>230000</x:v>
      </x:c>
      <x:c r="E41" s="23" t="n">
        <x:f>'PDF narxlari'!H67</x:f>
        <x:v>230000</x:v>
      </x:c>
      <x:c r="F41" s="19" t="n">
        <x:v>0.6</x:v>
      </x:c>
      <x:c r="G41" s="17" t="n">
        <x:v>300000</x:v>
      </x:c>
      <x:c r="H41" s="17" t="n">
        <x:v>0</x:v>
      </x:c>
      <x:c r="I41" s="17" t="n">
        <x:f>ROUND(F41*D41,0)+H41</x:f>
        <x:v>138000</x:v>
      </x:c>
      <x:c r="J41" s="17" t="n">
        <x:f>ROUND(F41*E41,0)+H41</x:f>
        <x:v>138000</x:v>
      </x:c>
      <x:c r="K41" s="19" t="n">
        <x:v>1.6</x:v>
      </x:c>
      <x:c r="L41" s="17" t="n">
        <x:v>790000</x:v>
      </x:c>
      <x:c r="M41" s="17" t="n">
        <x:v>0</x:v>
      </x:c>
      <x:c r="N41" s="17" t="n">
        <x:f>ROUND(K41*D41,0)+M41</x:f>
        <x:v>368000</x:v>
      </x:c>
      <x:c r="O41" s="17" t="n">
        <x:f>ROUND(K41*E41,0)+M41</x:f>
        <x:v>368000</x:v>
      </x:c>
      <x:c r="P41" s="21" t="str"/>
      <x:c r="Q41" s="15" t="n">
        <x:v>3</x:v>
      </x:c>
      <x:c r="R41" s="15" t="n">
        <x:v>8</x:v>
      </x:c>
    </x:row>
    <x:row r="42" ht="42" customHeight="1">
      <x:c r="A42" s="22" t="str">
        <x:v>Qora shokolad granula 500g</x:v>
      </x:c>
      <x:c r="B42" s="22" t="str">
        <x:v>Narx qo‘llanmagan</x:v>
      </x:c>
      <x:c r="C42" s="16" t="str"/>
      <x:c r="D42" s="24"/>
      <x:c r="E42" s="24"/>
      <x:c r="F42" s="20" t="n">
        <x:v>0</x:v>
      </x:c>
      <x:c r="G42" s="18" t="n">
        <x:v>155000</x:v>
      </x:c>
      <x:c r="H42" s="18" t="n">
        <x:v>155000</x:v>
      </x:c>
      <x:c r="I42" s="18" t="n">
        <x:f>G42</x:f>
        <x:v>155000</x:v>
      </x:c>
      <x:c r="J42" s="18" t="n">
        <x:f>G42</x:f>
        <x:v>155000</x:v>
      </x:c>
      <x:c r="K42" s="20" t="n">
        <x:v>0</x:v>
      </x:c>
      <x:c r="L42" s="18" t="n">
        <x:v>759500</x:v>
      </x:c>
      <x:c r="M42" s="18" t="n">
        <x:v>759500</x:v>
      </x:c>
      <x:c r="N42" s="18" t="n">
        <x:f>L42</x:f>
        <x:v>759500</x:v>
      </x:c>
      <x:c r="O42" s="18" t="n">
        <x:f>L42</x:f>
        <x:v>759500</x:v>
      </x:c>
      <x:c r="P42" s="22" t="str">
        <x:v>PDFda shokolad yo'q</x:v>
      </x:c>
      <x:c r="Q42" s="15" t="n">
        <x:v>1</x:v>
      </x:c>
      <x:c r="R42" s="15" t="n">
        <x:v>5</x:v>
      </x:c>
    </x:row>
    <x:row r="43" ht="42" customHeight="1">
      <x:c r="A43" s="21" t="str">
        <x:v>oq zig'ir uni 1000gr</x:v>
      </x:c>
      <x:c r="B43" s="21" t="str">
        <x:v>Oq zig'ir uni</x:v>
      </x:c>
      <x:c r="C43" s="1" t="str">
        <x:v>kg</x:v>
      </x:c>
      <x:c r="D43" s="23" t="n">
        <x:f>'PDF narxlari'!G21</x:f>
        <x:v>36000</x:v>
      </x:c>
      <x:c r="E43" s="23" t="n">
        <x:f>'PDF narxlari'!H21</x:f>
        <x:v>36000</x:v>
      </x:c>
      <x:c r="F43" s="19" t="n">
        <x:v>7</x:v>
      </x:c>
      <x:c r="G43" s="17" t="n">
        <x:v>374000</x:v>
      </x:c>
      <x:c r="H43" s="17" t="n">
        <x:v>0</x:v>
      </x:c>
      <x:c r="I43" s="17" t="n">
        <x:f>ROUND(F43*D43,0)+H43</x:f>
        <x:v>252000</x:v>
      </x:c>
      <x:c r="J43" s="17" t="n">
        <x:f>ROUND(F43*E43,0)+H43</x:f>
        <x:v>252000</x:v>
      </x:c>
      <x:c r="K43" s="19" t="n">
        <x:v>14</x:v>
      </x:c>
      <x:c r="L43" s="17" t="n">
        <x:v>753500</x:v>
      </x:c>
      <x:c r="M43" s="17" t="n">
        <x:v>0</x:v>
      </x:c>
      <x:c r="N43" s="17" t="n">
        <x:f>ROUND(K43*D43,0)+M43</x:f>
        <x:v>504000</x:v>
      </x:c>
      <x:c r="O43" s="17" t="n">
        <x:f>ROUND(K43*E43,0)+M43</x:f>
        <x:v>504000</x:v>
      </x:c>
      <x:c r="P43" s="21" t="str"/>
      <x:c r="Q43" s="15" t="n">
        <x:v>7</x:v>
      </x:c>
      <x:c r="R43" s="15" t="n">
        <x:v>14</x:v>
      </x:c>
    </x:row>
    <x:row r="44" ht="42" customHeight="1">
      <x:c r="A44" s="22" t="str">
        <x:v>Zaytun yog'i(qovurish uchun) 1000ml</x:v>
      </x:c>
      <x:c r="B44" s="22" t="str">
        <x:v>Zaytun yog'i (Pomace)</x:v>
      </x:c>
      <x:c r="C44" s="16" t="str">
        <x:v>l</x:v>
      </x:c>
      <x:c r="D44" s="24" t="n">
        <x:f>'PDF narxlari'!G44</x:f>
        <x:v>65000</x:v>
      </x:c>
      <x:c r="E44" s="24" t="n">
        <x:f>'PDF narxlari'!H44</x:f>
        <x:v>65000</x:v>
      </x:c>
      <x:c r="F44" s="20" t="n">
        <x:v>5</x:v>
      </x:c>
      <x:c r="G44" s="18" t="n">
        <x:v>367500</x:v>
      </x:c>
      <x:c r="H44" s="18" t="n">
        <x:v>0</x:v>
      </x:c>
      <x:c r="I44" s="18" t="n">
        <x:f>ROUND(F44*D44,0)+H44</x:f>
        <x:v>325000</x:v>
      </x:c>
      <x:c r="J44" s="18" t="n">
        <x:f>ROUND(F44*E44,0)+H44</x:f>
        <x:v>325000</x:v>
      </x:c>
      <x:c r="K44" s="20" t="n">
        <x:v>10</x:v>
      </x:c>
      <x:c r="L44" s="18" t="n">
        <x:v>742500</x:v>
      </x:c>
      <x:c r="M44" s="18" t="n">
        <x:v>0</x:v>
      </x:c>
      <x:c r="N44" s="18" t="n">
        <x:f>ROUND(K44*D44,0)+M44</x:f>
        <x:v>650000</x:v>
      </x:c>
      <x:c r="O44" s="18" t="n">
        <x:f>ROUND(K44*E44,0)+M44</x:f>
        <x:v>650000</x:v>
      </x:c>
      <x:c r="P44" s="22" t="str">
        <x:v>Qovurish uchun zaytun yog'i Pomace deb olindi.</x:v>
      </x:c>
      <x:c r="Q44" s="15" t="n">
        <x:v>5</x:v>
      </x:c>
      <x:c r="R44" s="15" t="n">
        <x:v>10</x:v>
      </x:c>
    </x:row>
    <x:row r="45" ht="42" customHeight="1">
      <x:c r="A45" s="21" t="str">
        <x:v>TOZA STEVIA 1000G</x:v>
      </x:c>
      <x:c r="B45" s="21" t="str">
        <x:v>Sof stevia</x:v>
      </x:c>
      <x:c r="C45" s="1" t="str">
        <x:v>kg</x:v>
      </x:c>
      <x:c r="D45" s="23" t="n">
        <x:f>'PDF narxlari'!G50</x:f>
        <x:v>1302281.2</x:v>
      </x:c>
      <x:c r="E45" s="23" t="n">
        <x:f>'PDF narxlari'!H50</x:f>
        <x:v>1302281.2</x:v>
      </x:c>
      <x:c r="F45" s="19" t="n">
        <x:v>0</x:v>
      </x:c>
      <x:c r="G45" s="17" t="n">
        <x:v>0</x:v>
      </x:c>
      <x:c r="H45" s="17" t="n">
        <x:v>0</x:v>
      </x:c>
      <x:c r="I45" s="17" t="n">
        <x:f>ROUND(F45*D45,0)+H45</x:f>
        <x:v>0</x:v>
      </x:c>
      <x:c r="J45" s="17" t="n">
        <x:f>ROUND(F45*E45,0)+H45</x:f>
        <x:v>0</x:v>
      </x:c>
      <x:c r="K45" s="19" t="n">
        <x:v>0.5</x:v>
      </x:c>
      <x:c r="L45" s="17" t="n">
        <x:v>710000</x:v>
      </x:c>
      <x:c r="M45" s="17" t="n">
        <x:v>0</x:v>
      </x:c>
      <x:c r="N45" s="17" t="n">
        <x:f>ROUND(K45*D45,0)+M45</x:f>
        <x:v>651141</x:v>
      </x:c>
      <x:c r="O45" s="17" t="n">
        <x:f>ROUND(K45*E45,0)+M45</x:f>
        <x:v>651141</x:v>
      </x:c>
      <x:c r="P45" s="21" t="str"/>
      <x:c r="Q45" s="15" t="n">
        <x:v>0</x:v>
      </x:c>
      <x:c r="R45" s="15" t="n">
        <x:v>0.5</x:v>
      </x:c>
    </x:row>
    <x:row r="46" ht="42" customHeight="1">
      <x:c r="A46" s="22" t="str">
        <x:v>Kokos uni 500gr</x:v>
      </x:c>
      <x:c r="B46" s="22" t="str">
        <x:v>Kokos uni</x:v>
      </x:c>
      <x:c r="C46" s="16" t="str">
        <x:v>kg</x:v>
      </x:c>
      <x:c r="D46" s="24" t="n">
        <x:f>'PDF narxlari'!G18</x:f>
        <x:v>61000</x:v>
      </x:c>
      <x:c r="E46" s="24" t="n">
        <x:f>'PDF narxlari'!H18</x:f>
        <x:v>61000</x:v>
      </x:c>
      <x:c r="F46" s="20" t="n">
        <x:v>5</x:v>
      </x:c>
      <x:c r="G46" s="18" t="n">
        <x:v>431200</x:v>
      </x:c>
      <x:c r="H46" s="18" t="n">
        <x:v>0</x:v>
      </x:c>
      <x:c r="I46" s="18" t="n">
        <x:f>ROUND(F46*D46,0)+H46</x:f>
        <x:v>305000</x:v>
      </x:c>
      <x:c r="J46" s="18" t="n">
        <x:f>ROUND(F46*E46,0)+H46</x:f>
        <x:v>305000</x:v>
      </x:c>
      <x:c r="K46" s="20" t="n">
        <x:v>8</x:v>
      </x:c>
      <x:c r="L46" s="18" t="n">
        <x:v>690800</x:v>
      </x:c>
      <x:c r="M46" s="18" t="n">
        <x:v>0</x:v>
      </x:c>
      <x:c r="N46" s="18" t="n">
        <x:f>ROUND(K46*D46,0)+M46</x:f>
        <x:v>488000</x:v>
      </x:c>
      <x:c r="O46" s="18" t="n">
        <x:f>ROUND(K46*E46,0)+M46</x:f>
        <x:v>488000</x:v>
      </x:c>
      <x:c r="P46" s="22" t="str"/>
      <x:c r="Q46" s="15" t="n">
        <x:v>10</x:v>
      </x:c>
      <x:c r="R46" s="15" t="n">
        <x:v>16</x:v>
      </x:c>
    </x:row>
    <x:row r="47" ht="42" customHeight="1">
      <x:c r="A47" s="21" t="str">
        <x:v>Arpa uni</x:v>
      </x:c>
      <x:c r="B47" s="21" t="str">
        <x:v>Arpa uni</x:v>
      </x:c>
      <x:c r="C47" s="1" t="str">
        <x:v>kg</x:v>
      </x:c>
      <x:c r="D47" s="23" t="n">
        <x:f>'PDF narxlari'!G16</x:f>
        <x:v>8000</x:v>
      </x:c>
      <x:c r="E47" s="23" t="n">
        <x:f>'PDF narxlari'!H16</x:f>
        <x:v>8000</x:v>
      </x:c>
      <x:c r="F47" s="19" t="n">
        <x:v>37</x:v>
      </x:c>
      <x:c r="G47" s="17" t="n">
        <x:v>455000</x:v>
      </x:c>
      <x:c r="H47" s="17" t="n">
        <x:v>0</x:v>
      </x:c>
      <x:c r="I47" s="17" t="n">
        <x:f>ROUND(F47*D47,0)+H47</x:f>
        <x:v>296000</x:v>
      </x:c>
      <x:c r="J47" s="17" t="n">
        <x:f>ROUND(F47*E47,0)+H47</x:f>
        <x:v>296000</x:v>
      </x:c>
      <x:c r="K47" s="19" t="n">
        <x:v>51</x:v>
      </x:c>
      <x:c r="L47" s="17" t="n">
        <x:v>660500</x:v>
      </x:c>
      <x:c r="M47" s="17" t="n">
        <x:v>0</x:v>
      </x:c>
      <x:c r="N47" s="17" t="n">
        <x:f>ROUND(K47*D47,0)+M47</x:f>
        <x:v>408000</x:v>
      </x:c>
      <x:c r="O47" s="17" t="n">
        <x:f>ROUND(K47*E47,0)+M47</x:f>
        <x:v>408000</x:v>
      </x:c>
      <x:c r="P47" s="21" t="str">
        <x:v>Nomda vazn yo‘q; saqlangan kg birligi olindi</x:v>
      </x:c>
      <x:c r="Q47" s="15" t="n">
        <x:v>37</x:v>
      </x:c>
      <x:c r="R47" s="15" t="n">
        <x:v>51</x:v>
      </x:c>
    </x:row>
    <x:row r="48" ht="42" customHeight="1">
      <x:c r="A48" s="22" t="str">
        <x:v>Kokos yog'i Extra Virgin 450ml</x:v>
      </x:c>
      <x:c r="B48" s="22" t="str">
        <x:v>Kokos yog'i</x:v>
      </x:c>
      <x:c r="C48" s="16" t="str">
        <x:v>l</x:v>
      </x:c>
      <x:c r="D48" s="24" t="n">
        <x:f>'PDF narxlari'!G47</x:f>
        <x:v>260000</x:v>
      </x:c>
      <x:c r="E48" s="24" t="n">
        <x:f>'PDF narxlari'!H47</x:f>
        <x:v>260000</x:v>
      </x:c>
      <x:c r="F48" s="20" t="n">
        <x:v>1.35</x:v>
      </x:c>
      <x:c r="G48" s="18" t="n">
        <x:v>390000</x:v>
      </x:c>
      <x:c r="H48" s="18" t="n">
        <x:v>0</x:v>
      </x:c>
      <x:c r="I48" s="18" t="n">
        <x:f>ROUND(F48*D48,0)+H48</x:f>
        <x:v>351000</x:v>
      </x:c>
      <x:c r="J48" s="18" t="n">
        <x:f>ROUND(F48*E48,0)+H48</x:f>
        <x:v>351000</x:v>
      </x:c>
      <x:c r="K48" s="20" t="n">
        <x:v>2.25</x:v>
      </x:c>
      <x:c r="L48" s="18" t="n">
        <x:v>650000</x:v>
      </x:c>
      <x:c r="M48" s="18" t="n">
        <x:v>0</x:v>
      </x:c>
      <x:c r="N48" s="18" t="n">
        <x:f>ROUND(K48*D48,0)+M48</x:f>
        <x:v>585000</x:v>
      </x:c>
      <x:c r="O48" s="18" t="n">
        <x:f>ROUND(K48*E48,0)+M48</x:f>
        <x:v>585000</x:v>
      </x:c>
      <x:c r="P48" s="22" t="str"/>
      <x:c r="Q48" s="15" t="n">
        <x:v>3</x:v>
      </x:c>
      <x:c r="R48" s="15" t="n">
        <x:v>5</x:v>
      </x:c>
    </x:row>
    <x:row r="49" ht="42" customHeight="1">
      <x:c r="A49" s="21" t="str">
        <x:v>Kokos chipsi 100g</x:v>
      </x:c>
      <x:c r="B49" s="21" t="str">
        <x:v>Kokos chipslari</x:v>
      </x:c>
      <x:c r="C49" s="1" t="str">
        <x:v>kg</x:v>
      </x:c>
      <x:c r="D49" s="23" t="n">
        <x:f>'PDF narxlari'!G62</x:f>
        <x:v>160000</x:v>
      </x:c>
      <x:c r="E49" s="23" t="n">
        <x:f>'PDF narxlari'!H62</x:f>
        <x:v>160000</x:v>
      </x:c>
      <x:c r="F49" s="19" t="n">
        <x:v>2.9</x:v>
      </x:c>
      <x:c r="G49" s="17" t="n">
        <x:v>585900</x:v>
      </x:c>
      <x:c r="H49" s="17" t="n">
        <x:v>0</x:v>
      </x:c>
      <x:c r="I49" s="17" t="n">
        <x:f>ROUND(F49*D49,0)+H49</x:f>
        <x:v>464000</x:v>
      </x:c>
      <x:c r="J49" s="17" t="n">
        <x:f>ROUND(F49*E49,0)+H49</x:f>
        <x:v>464000</x:v>
      </x:c>
      <x:c r="K49" s="19" t="n">
        <x:v>3.1</x:v>
      </x:c>
      <x:c r="L49" s="17" t="n">
        <x:v>629900</x:v>
      </x:c>
      <x:c r="M49" s="17" t="n">
        <x:v>0</x:v>
      </x:c>
      <x:c r="N49" s="17" t="n">
        <x:f>ROUND(K49*D49,0)+M49</x:f>
        <x:v>496000</x:v>
      </x:c>
      <x:c r="O49" s="17" t="n">
        <x:f>ROUND(K49*E49,0)+M49</x:f>
        <x:v>496000</x:v>
      </x:c>
      <x:c r="P49" s="21" t="str">
        <x:v>B2B birligi dona: qadoq soni deb olindi PDFdagi kokos chipslari bilan moslashtirildi; ta'mi tasdiqlanmagan.</x:v>
      </x:c>
      <x:c r="Q49" s="15" t="n">
        <x:v>29</x:v>
      </x:c>
      <x:c r="R49" s="15" t="n">
        <x:v>31</x:v>
      </x:c>
    </x:row>
    <x:row r="50" ht="42" customHeight="1">
      <x:c r="A50" s="22" t="str">
        <x:v>Stevia 200gr</x:v>
      </x:c>
      <x:c r="B50" s="22" t="str">
        <x:v>Stevia blend</x:v>
      </x:c>
      <x:c r="C50" s="16" t="str">
        <x:v>kg</x:v>
      </x:c>
      <x:c r="D50" s="24" t="n">
        <x:f>'PDF narxlari'!G51</x:f>
        <x:v>90000</x:v>
      </x:c>
      <x:c r="E50" s="24" t="n">
        <x:f>'PDF narxlari'!H51</x:f>
        <x:v>90000</x:v>
      </x:c>
      <x:c r="F50" s="20" t="n">
        <x:v>2.6</x:v>
      </x:c>
      <x:c r="G50" s="18" t="n">
        <x:v>422400</x:v>
      </x:c>
      <x:c r="H50" s="18" t="n">
        <x:v>0</x:v>
      </x:c>
      <x:c r="I50" s="18" t="n">
        <x:f>ROUND(F50*D50,0)+H50</x:f>
        <x:v>234000</x:v>
      </x:c>
      <x:c r="J50" s="18" t="n">
        <x:f>ROUND(F50*E50,0)+H50</x:f>
        <x:v>234000</x:v>
      </x:c>
      <x:c r="K50" s="20" t="n">
        <x:v>3.8</x:v>
      </x:c>
      <x:c r="L50" s="18" t="n">
        <x:v>628100</x:v>
      </x:c>
      <x:c r="M50" s="18" t="n">
        <x:v>0</x:v>
      </x:c>
      <x:c r="N50" s="18" t="n">
        <x:f>ROUND(K50*D50,0)+M50</x:f>
        <x:v>342000</x:v>
      </x:c>
      <x:c r="O50" s="18" t="n">
        <x:f>ROUND(K50*E50,0)+M50</x:f>
        <x:v>342000</x:v>
      </x:c>
      <x:c r="P50" s="22" t="str">
        <x:v>Oddiy Stevia qadoqlari blend deb olindi; sof stevia alohida.</x:v>
      </x:c>
      <x:c r="Q50" s="15" t="n">
        <x:v>13</x:v>
      </x:c>
      <x:c r="R50" s="15" t="n">
        <x:v>19</x:v>
      </x:c>
    </x:row>
    <x:row r="51" ht="42" customHeight="1">
      <x:c r="A51" s="21" t="str">
        <x:v>Qora shokolad granula 300g</x:v>
      </x:c>
      <x:c r="B51" s="21" t="str">
        <x:v>Narx qo‘llanmagan</x:v>
      </x:c>
      <x:c r="C51" s="1" t="str"/>
      <x:c r="D51" s="23"/>
      <x:c r="E51" s="23"/>
      <x:c r="F51" s="19" t="n">
        <x:v>0</x:v>
      </x:c>
      <x:c r="G51" s="17" t="n">
        <x:v>437000</x:v>
      </x:c>
      <x:c r="H51" s="17" t="n">
        <x:v>437000</x:v>
      </x:c>
      <x:c r="I51" s="17" t="n">
        <x:f>G51</x:f>
        <x:v>437000</x:v>
      </x:c>
      <x:c r="J51" s="17" t="n">
        <x:f>G51</x:f>
        <x:v>437000</x:v>
      </x:c>
      <x:c r="K51" s="19" t="n">
        <x:v>0</x:v>
      </x:c>
      <x:c r="L51" s="17" t="n">
        <x:v>627000</x:v>
      </x:c>
      <x:c r="M51" s="17" t="n">
        <x:v>627000</x:v>
      </x:c>
      <x:c r="N51" s="17" t="n">
        <x:f>L51</x:f>
        <x:v>627000</x:v>
      </x:c>
      <x:c r="O51" s="17" t="n">
        <x:f>L51</x:f>
        <x:v>627000</x:v>
      </x:c>
      <x:c r="P51" s="21" t="str">
        <x:v>PDFda shokolad yo'q</x:v>
      </x:c>
      <x:c r="Q51" s="15" t="n">
        <x:v>5</x:v>
      </x:c>
      <x:c r="R51" s="15" t="n">
        <x:v>7</x:v>
      </x:c>
    </x:row>
    <x:row r="52" ht="42" customHeight="1">
      <x:c r="A52" s="22" t="str">
        <x:v>Eritritol 500gr</x:v>
      </x:c>
      <x:c r="B52" s="22" t="str">
        <x:v>Eritritol</x:v>
      </x:c>
      <x:c r="C52" s="16" t="str">
        <x:v>kg</x:v>
      </x:c>
      <x:c r="D52" s="24" t="n">
        <x:f>'PDF narxlari'!G52</x:f>
        <x:v>75000</x:v>
      </x:c>
      <x:c r="E52" s="24" t="n">
        <x:f>'PDF narxlari'!H52</x:f>
        <x:v>75000</x:v>
      </x:c>
      <x:c r="F52" s="20" t="n">
        <x:v>2.5</x:v>
      </x:c>
      <x:c r="G52" s="18" t="n">
        <x:v>326400</x:v>
      </x:c>
      <x:c r="H52" s="18" t="n">
        <x:v>0</x:v>
      </x:c>
      <x:c r="I52" s="18" t="n">
        <x:f>ROUND(F52*D52,0)+H52</x:f>
        <x:v>187500</x:v>
      </x:c>
      <x:c r="J52" s="18" t="n">
        <x:f>ROUND(F52*E52,0)+H52</x:f>
        <x:v>187500</x:v>
      </x:c>
      <x:c r="K52" s="20" t="n">
        <x:v>4.5</x:v>
      </x:c>
      <x:c r="L52" s="18" t="n">
        <x:v>591600</x:v>
      </x:c>
      <x:c r="M52" s="18" t="n">
        <x:v>0</x:v>
      </x:c>
      <x:c r="N52" s="18" t="n">
        <x:f>ROUND(K52*D52,0)+M52</x:f>
        <x:v>337500</x:v>
      </x:c>
      <x:c r="O52" s="18" t="n">
        <x:f>ROUND(K52*E52,0)+M52</x:f>
        <x:v>337500</x:v>
      </x:c>
      <x:c r="P52" s="22" t="str"/>
      <x:c r="Q52" s="15" t="n">
        <x:v>5</x:v>
      </x:c>
      <x:c r="R52" s="15" t="n">
        <x:v>9</x:v>
      </x:c>
    </x:row>
    <x:row r="53" ht="42" customHeight="1">
      <x:c r="A53" s="21" t="str">
        <x:v>Javdar uni</x:v>
      </x:c>
      <x:c r="B53" s="21" t="str">
        <x:v>Javdar uni</x:v>
      </x:c>
      <x:c r="C53" s="1" t="str">
        <x:v>kg</x:v>
      </x:c>
      <x:c r="D53" s="23" t="n">
        <x:f>'PDF narxlari'!G9</x:f>
        <x:v>6500</x:v>
      </x:c>
      <x:c r="E53" s="23" t="n">
        <x:f>'PDF narxlari'!H9</x:f>
        <x:v>6500</x:v>
      </x:c>
      <x:c r="F53" s="19" t="n">
        <x:v>30</x:v>
      </x:c>
      <x:c r="G53" s="17" t="n">
        <x:v>244600</x:v>
      </x:c>
      <x:c r="H53" s="17" t="n">
        <x:v>0</x:v>
      </x:c>
      <x:c r="I53" s="17" t="n">
        <x:f>ROUND(F53*D53,0)+H53</x:f>
        <x:v>195000</x:v>
      </x:c>
      <x:c r="J53" s="17" t="n">
        <x:f>ROUND(F53*E53,0)+H53</x:f>
        <x:v>195000</x:v>
      </x:c>
      <x:c r="K53" s="19" t="n">
        <x:v>70</x:v>
      </x:c>
      <x:c r="L53" s="17" t="n">
        <x:v>554600</x:v>
      </x:c>
      <x:c r="M53" s="17" t="n">
        <x:v>0</x:v>
      </x:c>
      <x:c r="N53" s="17" t="n">
        <x:f>ROUND(K53*D53,0)+M53</x:f>
        <x:v>455000</x:v>
      </x:c>
      <x:c r="O53" s="17" t="n">
        <x:f>ROUND(K53*E53,0)+M53</x:f>
        <x:v>455000</x:v>
      </x:c>
      <x:c r="P53" s="21" t="str">
        <x:v>Nomda vazn yo‘q; saqlangan kg birligi olindi</x:v>
      </x:c>
      <x:c r="Q53" s="15" t="n">
        <x:v>30</x:v>
      </x:c>
      <x:c r="R53" s="15" t="n">
        <x:v>70</x:v>
      </x:c>
    </x:row>
    <x:row r="54" ht="42" customHeight="1">
      <x:c r="A54" s="22" t="str">
        <x:v>Ovsyanka uni</x:v>
      </x:c>
      <x:c r="B54" s="22" t="str">
        <x:v>Suli uni</x:v>
      </x:c>
      <x:c r="C54" s="16" t="str">
        <x:v>kg</x:v>
      </x:c>
      <x:c r="D54" s="24" t="n">
        <x:f>'PDF narxlari'!G17</x:f>
        <x:v>13000</x:v>
      </x:c>
      <x:c r="E54" s="24" t="n">
        <x:f>'PDF narxlari'!H17</x:f>
        <x:v>13000</x:v>
      </x:c>
      <x:c r="F54" s="20" t="n">
        <x:v>16</x:v>
      </x:c>
      <x:c r="G54" s="18" t="n">
        <x:v>337500</x:v>
      </x:c>
      <x:c r="H54" s="18" t="n">
        <x:v>0</x:v>
      </x:c>
      <x:c r="I54" s="18" t="n">
        <x:f>ROUND(F54*D54,0)+H54</x:f>
        <x:v>208000</x:v>
      </x:c>
      <x:c r="J54" s="18" t="n">
        <x:f>ROUND(F54*E54,0)+H54</x:f>
        <x:v>208000</x:v>
      </x:c>
      <x:c r="K54" s="20" t="n">
        <x:v>27</x:v>
      </x:c>
      <x:c r="L54" s="18" t="n">
        <x:v>552500</x:v>
      </x:c>
      <x:c r="M54" s="18" t="n">
        <x:v>0</x:v>
      </x:c>
      <x:c r="N54" s="18" t="n">
        <x:f>ROUND(K54*D54,0)+M54</x:f>
        <x:v>351000</x:v>
      </x:c>
      <x:c r="O54" s="18" t="n">
        <x:f>ROUND(K54*E54,0)+M54</x:f>
        <x:v>351000</x:v>
      </x:c>
      <x:c r="P54" s="22" t="str">
        <x:v>118: brendli un o'rniga shu turdagi xomashyo narxi. Nomda vazn yo‘q; saqlangan kg birligi olindi</x:v>
      </x:c>
      <x:c r="Q54" s="15" t="n">
        <x:v>16</x:v>
      </x:c>
      <x:c r="R54" s="15" t="n">
        <x:v>27</x:v>
      </x:c>
    </x:row>
    <x:row r="55" ht="42" customHeight="1">
      <x:c r="A55" s="21" t="str">
        <x:v>Bodom uni 200gr</x:v>
      </x:c>
      <x:c r="B55" s="21" t="str">
        <x:v>Bodom uni</x:v>
      </x:c>
      <x:c r="C55" s="1" t="str">
        <x:v>kg</x:v>
      </x:c>
      <x:c r="D55" s="23" t="n">
        <x:f>'PDF narxlari'!G24</x:f>
        <x:v>145000</x:v>
      </x:c>
      <x:c r="E55" s="23" t="n">
        <x:f>'PDF narxlari'!H24</x:f>
        <x:v>145000</x:v>
      </x:c>
      <x:c r="F55" s="19" t="n">
        <x:v>1.8</x:v>
      </x:c>
      <x:c r="G55" s="17" t="n">
        <x:v>378400</x:v>
      </x:c>
      <x:c r="H55" s="17" t="n">
        <x:v>0</x:v>
      </x:c>
      <x:c r="I55" s="17" t="n">
        <x:f>ROUND(F55*D55,0)+H55</x:f>
        <x:v>261000</x:v>
      </x:c>
      <x:c r="J55" s="17" t="n">
        <x:f>ROUND(F55*E55,0)+H55</x:f>
        <x:v>261000</x:v>
      </x:c>
      <x:c r="K55" s="19" t="n">
        <x:v>2.6</x:v>
      </x:c>
      <x:c r="L55" s="17" t="n">
        <x:v>550400</x:v>
      </x:c>
      <x:c r="M55" s="17" t="n">
        <x:v>0</x:v>
      </x:c>
      <x:c r="N55" s="17" t="n">
        <x:f>ROUND(K55*D55,0)+M55</x:f>
        <x:v>377000</x:v>
      </x:c>
      <x:c r="O55" s="17" t="n">
        <x:f>ROUND(K55*E55,0)+M55</x:f>
        <x:v>377000</x:v>
      </x:c>
      <x:c r="P55" s="21" t="str"/>
      <x:c r="Q55" s="15" t="n">
        <x:v>9</x:v>
      </x:c>
      <x:c r="R55" s="15" t="n">
        <x:v>13</x:v>
      </x:c>
    </x:row>
    <x:row r="56" ht="42" customHeight="1">
      <x:c r="A56" s="22" t="str">
        <x:v>Ksantan kamedi 500g</x:v>
      </x:c>
      <x:c r="B56" s="22" t="str">
        <x:v>Ksantan kamedi</x:v>
      </x:c>
      <x:c r="C56" s="16" t="str">
        <x:v>kg</x:v>
      </x:c>
      <x:c r="D56" s="24" t="n">
        <x:f>'PDF narxlari'!G66</x:f>
        <x:v>55000</x:v>
      </x:c>
      <x:c r="E56" s="24" t="n">
        <x:f>'PDF narxlari'!H66</x:f>
        <x:v>55000</x:v>
      </x:c>
      <x:c r="F56" s="20" t="n">
        <x:v>1.5</x:v>
      </x:c>
      <x:c r="G56" s="18" t="n">
        <x:v>229100</x:v>
      </x:c>
      <x:c r="H56" s="18" t="n">
        <x:v>0</x:v>
      </x:c>
      <x:c r="I56" s="18" t="n">
        <x:f>ROUND(F56*D56,0)+H56</x:f>
        <x:v>82500</x:v>
      </x:c>
      <x:c r="J56" s="18" t="n">
        <x:f>ROUND(F56*E56,0)+H56</x:f>
        <x:v>82500</x:v>
      </x:c>
      <x:c r="K56" s="20" t="n">
        <x:v>3.5</x:v>
      </x:c>
      <x:c r="L56" s="18" t="n">
        <x:v>545100</x:v>
      </x:c>
      <x:c r="M56" s="18" t="n">
        <x:v>0</x:v>
      </x:c>
      <x:c r="N56" s="18" t="n">
        <x:f>ROUND(K56*D56,0)+M56</x:f>
        <x:v>192500</x:v>
      </x:c>
      <x:c r="O56" s="18" t="n">
        <x:f>ROUND(K56*E56,0)+M56</x:f>
        <x:v>192500</x:v>
      </x:c>
      <x:c r="P56" s="22" t="str"/>
      <x:c r="Q56" s="15" t="n">
        <x:v>3</x:v>
      </x:c>
      <x:c r="R56" s="15" t="n">
        <x:v>7</x:v>
      </x:c>
    </x:row>
    <x:row r="57" ht="42" customHeight="1">
      <x:c r="A57" s="21" t="str">
        <x:v>Yashil grechka uni 1000gr</x:v>
      </x:c>
      <x:c r="B57" s="21" t="str">
        <x:v>Yashil grechka uni</x:v>
      </x:c>
      <x:c r="C57" s="1" t="str">
        <x:v>kg</x:v>
      </x:c>
      <x:c r="D57" s="23" t="n">
        <x:f>'PDF narxlari'!G25</x:f>
        <x:v>36000</x:v>
      </x:c>
      <x:c r="E57" s="23" t="n">
        <x:f>'PDF narxlari'!H25</x:f>
        <x:v>36000</x:v>
      </x:c>
      <x:c r="F57" s="19" t="n">
        <x:v>7</x:v>
      </x:c>
      <x:c r="G57" s="17" t="n">
        <x:v>331200</x:v>
      </x:c>
      <x:c r="H57" s="17" t="n">
        <x:v>0</x:v>
      </x:c>
      <x:c r="I57" s="17" t="n">
        <x:f>ROUND(F57*D57,0)+H57</x:f>
        <x:v>252000</x:v>
      </x:c>
      <x:c r="J57" s="17" t="n">
        <x:f>ROUND(F57*E57,0)+H57</x:f>
        <x:v>252000</x:v>
      </x:c>
      <x:c r="K57" s="19" t="n">
        <x:v>12</x:v>
      </x:c>
      <x:c r="L57" s="17" t="n">
        <x:v>542400</x:v>
      </x:c>
      <x:c r="M57" s="17" t="n">
        <x:v>0</x:v>
      </x:c>
      <x:c r="N57" s="17" t="n">
        <x:f>ROUND(K57*D57,0)+M57</x:f>
        <x:v>432000</x:v>
      </x:c>
      <x:c r="O57" s="17" t="n">
        <x:f>ROUND(K57*E57,0)+M57</x:f>
        <x:v>432000</x:v>
      </x:c>
      <x:c r="P57" s="21" t="str"/>
      <x:c r="Q57" s="15" t="n">
        <x:v>7</x:v>
      </x:c>
      <x:c r="R57" s="15" t="n">
        <x:v>12</x:v>
      </x:c>
    </x:row>
    <x:row r="58" ht="42" customHeight="1">
      <x:c r="A58" s="22" t="str">
        <x:v>Zomin tog‘ asali 700 gr</x:v>
      </x:c>
      <x:c r="B58" s="22" t="str">
        <x:v>Asal</x:v>
      </x:c>
      <x:c r="C58" s="16" t="str">
        <x:v>kg</x:v>
      </x:c>
      <x:c r="D58" s="24" t="n">
        <x:f>'PDF narxlari'!G57</x:f>
        <x:v>105000</x:v>
      </x:c>
      <x:c r="E58" s="24" t="n">
        <x:f>'PDF narxlari'!H57</x:f>
        <x:v>105000</x:v>
      </x:c>
      <x:c r="F58" s="20" t="n">
        <x:v>2.8</x:v>
      </x:c>
      <x:c r="G58" s="18" t="n">
        <x:v>429000</x:v>
      </x:c>
      <x:c r="H58" s="18" t="n">
        <x:v>0</x:v>
      </x:c>
      <x:c r="I58" s="18" t="n">
        <x:f>ROUND(F58*D58,0)+H58</x:f>
        <x:v>294000</x:v>
      </x:c>
      <x:c r="J58" s="18" t="n">
        <x:f>ROUND(F58*E58,0)+H58</x:f>
        <x:v>294000</x:v>
      </x:c>
      <x:c r="K58" s="20" t="n">
        <x:v>3.5</x:v>
      </x:c>
      <x:c r="L58" s="18" t="n">
        <x:v>539000</x:v>
      </x:c>
      <x:c r="M58" s="18" t="n">
        <x:v>0</x:v>
      </x:c>
      <x:c r="N58" s="18" t="n">
        <x:f>ROUND(K58*D58,0)+M58</x:f>
        <x:v>367500</x:v>
      </x:c>
      <x:c r="O58" s="18" t="n">
        <x:f>ROUND(K58*E58,0)+M58</x:f>
        <x:v>367500</x:v>
      </x:c>
      <x:c r="P58" s="22" t="str"/>
      <x:c r="Q58" s="15" t="n">
        <x:v>4</x:v>
      </x:c>
      <x:c r="R58" s="15" t="n">
        <x:v>5</x:v>
      </x:c>
    </x:row>
    <x:row r="59" ht="42" customHeight="1">
      <x:c r="A59" s="21" t="str">
        <x:v>Alluloza 200gr</x:v>
      </x:c>
      <x:c r="B59" s="21" t="str">
        <x:v>Alluloza</x:v>
      </x:c>
      <x:c r="C59" s="1" t="str">
        <x:v>kg</x:v>
      </x:c>
      <x:c r="D59" s="23" t="n">
        <x:f>'PDF narxlari'!G53</x:f>
        <x:v>220000</x:v>
      </x:c>
      <x:c r="E59" s="23" t="n">
        <x:f>'PDF narxlari'!H53</x:f>
        <x:v>220000</x:v>
      </x:c>
      <x:c r="F59" s="19" t="n">
        <x:v>1.2</x:v>
      </x:c>
      <x:c r="G59" s="17" t="n">
        <x:v>308000</x:v>
      </x:c>
      <x:c r="H59" s="17" t="n">
        <x:v>0</x:v>
      </x:c>
      <x:c r="I59" s="17" t="n">
        <x:f>ROUND(F59*D59,0)+H59</x:f>
        <x:v>264000</x:v>
      </x:c>
      <x:c r="J59" s="17" t="n">
        <x:f>ROUND(F59*E59,0)+H59</x:f>
        <x:v>264000</x:v>
      </x:c>
      <x:c r="K59" s="19" t="n">
        <x:v>2</x:v>
      </x:c>
      <x:c r="L59" s="17" t="n">
        <x:v>511500</x:v>
      </x:c>
      <x:c r="M59" s="17" t="n">
        <x:v>0</x:v>
      </x:c>
      <x:c r="N59" s="17" t="n">
        <x:f>ROUND(K59*D59,0)+M59</x:f>
        <x:v>440000</x:v>
      </x:c>
      <x:c r="O59" s="17" t="n">
        <x:f>ROUND(K59*E59,0)+M59</x:f>
        <x:v>440000</x:v>
      </x:c>
      <x:c r="P59" s="21" t="str"/>
      <x:c r="Q59" s="15" t="n">
        <x:v>6</x:v>
      </x:c>
      <x:c r="R59" s="15" t="n">
        <x:v>10</x:v>
      </x:c>
    </x:row>
    <x:row r="60" ht="42" customHeight="1">
      <x:c r="A60" s="22" t="str">
        <x:v>Keto set</x:v>
      </x:c>
      <x:c r="B60" s="22" t="str">
        <x:v>Narx qo‘llanmagan</x:v>
      </x:c>
      <x:c r="C60" s="16" t="str"/>
      <x:c r="D60" s="24"/>
      <x:c r="E60" s="24"/>
      <x:c r="F60" s="20" t="n">
        <x:v>0</x:v>
      </x:c>
      <x:c r="G60" s="18" t="n">
        <x:v>504100</x:v>
      </x:c>
      <x:c r="H60" s="18" t="n">
        <x:v>504100</x:v>
      </x:c>
      <x:c r="I60" s="18" t="n">
        <x:f>G60</x:f>
        <x:v>504100</x:v>
      </x:c>
      <x:c r="J60" s="18" t="n">
        <x:f>G60</x:f>
        <x:v>504100</x:v>
      </x:c>
      <x:c r="K60" s="20" t="n">
        <x:v>0</x:v>
      </x:c>
      <x:c r="L60" s="18" t="n">
        <x:v>504100</x:v>
      </x:c>
      <x:c r="M60" s="18" t="n">
        <x:v>504100</x:v>
      </x:c>
      <x:c r="N60" s="18" t="n">
        <x:f>L60</x:f>
        <x:v>504100</x:v>
      </x:c>
      <x:c r="O60" s="18" t="n">
        <x:f>L60</x:f>
        <x:v>504100</x:v>
      </x:c>
      <x:c r="P60" s="22" t="str">
        <x:v>PDFda tayyor Keto set yo'q; joriy tarkib bilan tarixni taxmin qilmadim</x:v>
      </x:c>
      <x:c r="Q60" s="15" t="n">
        <x:v>2</x:v>
      </x:c>
      <x:c r="R60" s="15" t="n">
        <x:v>2</x:v>
      </x:c>
    </x:row>
    <x:row r="61" ht="42" customHeight="1">
      <x:c r="A61" s="21" t="str">
        <x:v>Alluloza 500gr</x:v>
      </x:c>
      <x:c r="B61" s="21" t="str">
        <x:v>Alluloza</x:v>
      </x:c>
      <x:c r="C61" s="1" t="str">
        <x:v>kg</x:v>
      </x:c>
      <x:c r="D61" s="23" t="n">
        <x:f>'PDF narxlari'!G53</x:f>
        <x:v>220000</x:v>
      </x:c>
      <x:c r="E61" s="23" t="n">
        <x:f>'PDF narxlari'!H53</x:f>
        <x:v>220000</x:v>
      </x:c>
      <x:c r="F61" s="19" t="n">
        <x:v>1.5</x:v>
      </x:c>
      <x:c r="G61" s="17" t="n">
        <x:v>361200</x:v>
      </x:c>
      <x:c r="H61" s="17" t="n">
        <x:v>0</x:v>
      </x:c>
      <x:c r="I61" s="17" t="n">
        <x:f>ROUND(F61*D61,0)+H61</x:f>
        <x:v>330000</x:v>
      </x:c>
      <x:c r="J61" s="17" t="n">
        <x:f>ROUND(F61*E61,0)+H61</x:f>
        <x:v>330000</x:v>
      </x:c>
      <x:c r="K61" s="19" t="n">
        <x:v>2</x:v>
      </x:c>
      <x:c r="L61" s="17" t="n">
        <x:v>490200</x:v>
      </x:c>
      <x:c r="M61" s="17" t="n">
        <x:v>0</x:v>
      </x:c>
      <x:c r="N61" s="17" t="n">
        <x:f>ROUND(K61*D61,0)+M61</x:f>
        <x:v>440000</x:v>
      </x:c>
      <x:c r="O61" s="17" t="n">
        <x:f>ROUND(K61*E61,0)+M61</x:f>
        <x:v>440000</x:v>
      </x:c>
      <x:c r="P61" s="21" t="str"/>
      <x:c r="Q61" s="15" t="n">
        <x:v>3</x:v>
      </x:c>
      <x:c r="R61" s="15" t="n">
        <x:v>4</x:v>
      </x:c>
    </x:row>
    <x:row r="62" ht="42" customHeight="1">
      <x:c r="A62" s="22" t="str">
        <x:v>Makkajo'xori uni</x:v>
      </x:c>
      <x:c r="B62" s="22" t="str">
        <x:v>Jo'xori uni</x:v>
      </x:c>
      <x:c r="C62" s="16" t="str">
        <x:v>kg</x:v>
      </x:c>
      <x:c r="D62" s="24" t="n">
        <x:f>'PDF narxlari'!G13</x:f>
        <x:v>8000</x:v>
      </x:c>
      <x:c r="E62" s="24" t="n">
        <x:f>'PDF narxlari'!H13</x:f>
        <x:v>8000</x:v>
      </x:c>
      <x:c r="F62" s="20" t="n">
        <x:v>52</x:v>
      </x:c>
      <x:c r="G62" s="18" t="n">
        <x:v>430000</x:v>
      </x:c>
      <x:c r="H62" s="18" t="n">
        <x:v>0</x:v>
      </x:c>
      <x:c r="I62" s="18" t="n">
        <x:f>ROUND(F62*D62,0)+H62</x:f>
        <x:v>416000</x:v>
      </x:c>
      <x:c r="J62" s="18" t="n">
        <x:f>ROUND(F62*E62,0)+H62</x:f>
        <x:v>416000</x:v>
      </x:c>
      <x:c r="K62" s="20" t="n">
        <x:v>55</x:v>
      </x:c>
      <x:c r="L62" s="18" t="n">
        <x:v>472000</x:v>
      </x:c>
      <x:c r="M62" s="18" t="n">
        <x:v>0</x:v>
      </x:c>
      <x:c r="N62" s="18" t="n">
        <x:f>ROUND(K62*D62,0)+M62</x:f>
        <x:v>440000</x:v>
      </x:c>
      <x:c r="O62" s="18" t="n">
        <x:f>ROUND(K62*E62,0)+M62</x:f>
        <x:v>440000</x:v>
      </x:c>
      <x:c r="P62" s="22" t="str">
        <x:v>112: brendli un o'rniga shu turdagi xomashyo narxi. Nomda vazn yo‘q; saqlangan kg birligi olindi</x:v>
      </x:c>
      <x:c r="Q62" s="15" t="n">
        <x:v>52</x:v>
      </x:c>
      <x:c r="R62" s="15" t="n">
        <x:v>55</x:v>
      </x:c>
    </x:row>
    <x:row r="63" ht="42" customHeight="1">
      <x:c r="A63" s="21" t="str">
        <x:v>Табиий ҳамиртуруш— закваска</x:v>
      </x:c>
      <x:c r="B63" s="21" t="str">
        <x:v>Narx qo‘llanmagan</x:v>
      </x:c>
      <x:c r="C63" s="1" t="str"/>
      <x:c r="D63" s="23"/>
      <x:c r="E63" s="23"/>
      <x:c r="F63" s="19" t="n">
        <x:v>0</x:v>
      </x:c>
      <x:c r="G63" s="17" t="n">
        <x:v>234000</x:v>
      </x:c>
      <x:c r="H63" s="17" t="n">
        <x:v>234000</x:v>
      </x:c>
      <x:c r="I63" s="17" t="n">
        <x:f>G63</x:f>
        <x:v>234000</x:v>
      </x:c>
      <x:c r="J63" s="17" t="n">
        <x:f>G63</x:f>
        <x:v>234000</x:v>
      </x:c>
      <x:c r="K63" s="19" t="n">
        <x:v>0</x:v>
      </x:c>
      <x:c r="L63" s="17" t="n">
        <x:v>468000</x:v>
      </x:c>
      <x:c r="M63" s="17" t="n">
        <x:v>468000</x:v>
      </x:c>
      <x:c r="N63" s="17" t="n">
        <x:f>L63</x:f>
        <x:v>468000</x:v>
      </x:c>
      <x:c r="O63" s="17" t="n">
        <x:f>L63</x:f>
        <x:v>468000</x:v>
      </x:c>
      <x:c r="P63" s="21" t="str">
        <x:v>Tabiiy zakvaska; PDF ruschasida quruq xamirturush</x:v>
      </x:c>
      <x:c r="Q63" s="15" t="n">
        <x:v>6</x:v>
      </x:c>
      <x:c r="R63" s="15" t="n">
        <x:v>12</x:v>
      </x:c>
    </x:row>
    <x:row r="64" ht="42" customHeight="1">
      <x:c r="A64" s="22" t="str">
        <x:v>Basmati guruch Premium Besta 900gr</x:v>
      </x:c>
      <x:c r="B64" s="22" t="str">
        <x:v>Basmati</x:v>
      </x:c>
      <x:c r="C64" s="16" t="str">
        <x:v>kg</x:v>
      </x:c>
      <x:c r="D64" s="24" t="n">
        <x:f>'PDF narxlari'!G30</x:f>
        <x:v>27777.777777777777</x:v>
      </x:c>
      <x:c r="E64" s="24" t="n">
        <x:f>'PDF narxlari'!H30</x:f>
        <x:v>27777.777777777777</x:v>
      </x:c>
      <x:c r="F64" s="20" t="n">
        <x:v>11.5</x:v>
      </x:c>
      <x:c r="G64" s="18" t="n">
        <x:v>351000</x:v>
      </x:c>
      <x:c r="H64" s="18" t="n">
        <x:v>0</x:v>
      </x:c>
      <x:c r="I64" s="18" t="n">
        <x:f>ROUND(F64*D64,0)+H64</x:f>
        <x:v>319444</x:v>
      </x:c>
      <x:c r="J64" s="18" t="n">
        <x:f>ROUND(F64*E64,0)+H64</x:f>
        <x:v>319444</x:v>
      </x:c>
      <x:c r="K64" s="20" t="n">
        <x:v>14.2</x:v>
      </x:c>
      <x:c r="L64" s="18" t="n">
        <x:v>444000</x:v>
      </x:c>
      <x:c r="M64" s="18" t="n">
        <x:v>0</x:v>
      </x:c>
      <x:c r="N64" s="18" t="n">
        <x:f>ROUND(K64*D64,0)+M64</x:f>
        <x:v>394444</x:v>
      </x:c>
      <x:c r="O64" s="18" t="n">
        <x:f>ROUND(K64*E64,0)+M64</x:f>
        <x:v>394444</x:v>
      </x:c>
      <x:c r="P64" s="22" t="str"/>
      <x:c r="Q64" s="15" t="n">
        <x:v>12</x:v>
      </x:c>
      <x:c r="R64" s="15" t="n">
        <x:v>15</x:v>
      </x:c>
    </x:row>
    <x:row r="65" ht="42" customHeight="1">
      <x:c r="A65" s="21" t="str">
        <x:v>Ksantan kamedi 100g</x:v>
      </x:c>
      <x:c r="B65" s="21" t="str">
        <x:v>Ksantan kamedi</x:v>
      </x:c>
      <x:c r="C65" s="1" t="str">
        <x:v>kg</x:v>
      </x:c>
      <x:c r="D65" s="23" t="n">
        <x:f>'PDF narxlari'!G66</x:f>
        <x:v>55000</x:v>
      </x:c>
      <x:c r="E65" s="23" t="n">
        <x:f>'PDF narxlari'!H66</x:f>
        <x:v>55000</x:v>
      </x:c>
      <x:c r="F65" s="19" t="n">
        <x:v>1.6</x:v>
      </x:c>
      <x:c r="G65" s="17" t="n">
        <x:v>288800</x:v>
      </x:c>
      <x:c r="H65" s="17" t="n">
        <x:v>0</x:v>
      </x:c>
      <x:c r="I65" s="17" t="n">
        <x:f>ROUND(F65*D65,0)+H65</x:f>
        <x:v>88000</x:v>
      </x:c>
      <x:c r="J65" s="17" t="n">
        <x:f>ROUND(F65*E65,0)+H65</x:f>
        <x:v>88000</x:v>
      </x:c>
      <x:c r="K65" s="19" t="n">
        <x:v>2.4</x:v>
      </x:c>
      <x:c r="L65" s="17" t="n">
        <x:v>433200</x:v>
      </x:c>
      <x:c r="M65" s="17" t="n">
        <x:v>0</x:v>
      </x:c>
      <x:c r="N65" s="17" t="n">
        <x:f>ROUND(K65*D65,0)+M65</x:f>
        <x:v>132000</x:v>
      </x:c>
      <x:c r="O65" s="17" t="n">
        <x:f>ROUND(K65*E65,0)+M65</x:f>
        <x:v>132000</x:v>
      </x:c>
      <x:c r="P65" s="21" t="str"/>
      <x:c r="Q65" s="15" t="n">
        <x:v>16</x:v>
      </x:c>
      <x:c r="R65" s="15" t="n">
        <x:v>24</x:v>
      </x:c>
    </x:row>
    <x:row r="66" ht="42" customHeight="1">
      <x:c r="A66" s="22" t="str">
        <x:v>Qovoq urugʻi 1000g</x:v>
      </x:c>
      <x:c r="B66" s="22" t="str">
        <x:v>Qovoq urug'i (O'zbekiston)</x:v>
      </x:c>
      <x:c r="C66" s="16" t="str">
        <x:v>kg</x:v>
      </x:c>
      <x:c r="D66" s="24" t="n">
        <x:f>'PDF narxlari'!G40</x:f>
        <x:v>210000</x:v>
      </x:c>
      <x:c r="E66" s="24" t="n">
        <x:f>'PDF narxlari'!H40</x:f>
        <x:v>210000</x:v>
      </x:c>
      <x:c r="F66" s="20" t="n">
        <x:v>2</x:v>
      </x:c>
      <x:c r="G66" s="18" t="n">
        <x:v>420000</x:v>
      </x:c>
      <x:c r="H66" s="18" t="n">
        <x:v>0</x:v>
      </x:c>
      <x:c r="I66" s="18" t="n">
        <x:f>ROUND(F66*D66,0)+H66</x:f>
        <x:v>420000</x:v>
      </x:c>
      <x:c r="J66" s="18" t="n">
        <x:f>ROUND(F66*E66,0)+H66</x:f>
        <x:v>420000</x:v>
      </x:c>
      <x:c r="K66" s="20" t="n">
        <x:v>2</x:v>
      </x:c>
      <x:c r="L66" s="18" t="n">
        <x:v>420000</x:v>
      </x:c>
      <x:c r="M66" s="18" t="n">
        <x:v>0</x:v>
      </x:c>
      <x:c r="N66" s="18" t="n">
        <x:f>ROUND(K66*D66,0)+M66</x:f>
        <x:v>420000</x:v>
      </x:c>
      <x:c r="O66" s="18" t="n">
        <x:f>ROUND(K66*E66,0)+M66</x:f>
        <x:v>420000</x:v>
      </x:c>
      <x:c r="P66" s="22" t="str"/>
      <x:c r="Q66" s="15" t="n">
        <x:v>2</x:v>
      </x:c>
      <x:c r="R66" s="15" t="n">
        <x:v>2</x:v>
      </x:c>
    </x:row>
    <x:row r="67" ht="42" customHeight="1">
      <x:c r="A67" s="21" t="str">
        <x:v>Kokos slivka 400ml</x:v>
      </x:c>
      <x:c r="B67" s="21" t="str">
        <x:v>Kokos slivkasi</x:v>
      </x:c>
      <x:c r="C67" s="1" t="str">
        <x:v>l</x:v>
      </x:c>
      <x:c r="D67" s="23" t="n">
        <x:f>'PDF narxlari'!G60</x:f>
        <x:v>82500</x:v>
      </x:c>
      <x:c r="E67" s="23" t="n">
        <x:f>'PDF narxlari'!H60</x:f>
        <x:v>82500</x:v>
      </x:c>
      <x:c r="F67" s="19" t="n">
        <x:v>4.4</x:v>
      </x:c>
      <x:c r="G67" s="17" t="n">
        <x:v>409600</x:v>
      </x:c>
      <x:c r="H67" s="17" t="n">
        <x:v>0</x:v>
      </x:c>
      <x:c r="I67" s="17" t="n">
        <x:f>ROUND(F67*D67,0)+H67</x:f>
        <x:v>363000</x:v>
      </x:c>
      <x:c r="J67" s="17" t="n">
        <x:f>ROUND(F67*E67,0)+H67</x:f>
        <x:v>363000</x:v>
      </x:c>
      <x:c r="K67" s="19" t="n">
        <x:v>4.4</x:v>
      </x:c>
      <x:c r="L67" s="17" t="n">
        <x:v>409600</x:v>
      </x:c>
      <x:c r="M67" s="17" t="n">
        <x:v>0</x:v>
      </x:c>
      <x:c r="N67" s="17" t="n">
        <x:f>ROUND(K67*D67,0)+M67</x:f>
        <x:v>363000</x:v>
      </x:c>
      <x:c r="O67" s="17" t="n">
        <x:f>ROUND(K67*E67,0)+M67</x:f>
        <x:v>363000</x:v>
      </x:c>
      <x:c r="P67" s="21" t="str">
        <x:v>B2B birligi dona: qadoq soni deb olindi</x:v>
      </x:c>
      <x:c r="Q67" s="15" t="n">
        <x:v>11</x:v>
      </x:c>
      <x:c r="R67" s="15" t="n">
        <x:v>11</x:v>
      </x:c>
    </x:row>
    <x:row r="68" ht="42" customHeight="1">
      <x:c r="A68" s="22" t="str">
        <x:v>bulgur guruchi 1000gr</x:v>
      </x:c>
      <x:c r="B68" s="22" t="str">
        <x:v>Bulgur</x:v>
      </x:c>
      <x:c r="C68" s="16" t="str">
        <x:v>kg</x:v>
      </x:c>
      <x:c r="D68" s="24" t="n">
        <x:f>'PDF narxlari'!G32</x:f>
        <x:v>21000</x:v>
      </x:c>
      <x:c r="E68" s="24" t="n">
        <x:f>'PDF narxlari'!H32</x:f>
        <x:v>21000</x:v>
      </x:c>
      <x:c r="F68" s="20" t="n">
        <x:v>10</x:v>
      </x:c>
      <x:c r="G68" s="18" t="n">
        <x:v>276800</x:v>
      </x:c>
      <x:c r="H68" s="18" t="n">
        <x:v>0</x:v>
      </x:c>
      <x:c r="I68" s="18" t="n">
        <x:f>ROUND(F68*D68,0)+H68</x:f>
        <x:v>210000</x:v>
      </x:c>
      <x:c r="J68" s="18" t="n">
        <x:f>ROUND(F68*E68,0)+H68</x:f>
        <x:v>210000</x:v>
      </x:c>
      <x:c r="K68" s="20" t="n">
        <x:v>14</x:v>
      </x:c>
      <x:c r="L68" s="18" t="n">
        <x:v>408800</x:v>
      </x:c>
      <x:c r="M68" s="18" t="n">
        <x:v>0</x:v>
      </x:c>
      <x:c r="N68" s="18" t="n">
        <x:f>ROUND(K68*D68,0)+M68</x:f>
        <x:v>294000</x:v>
      </x:c>
      <x:c r="O68" s="18" t="n">
        <x:f>ROUND(K68*E68,0)+M68</x:f>
        <x:v>294000</x:v>
      </x:c>
      <x:c r="P68" s="22" t="str"/>
      <x:c r="Q68" s="15" t="n">
        <x:v>10</x:v>
      </x:c>
      <x:c r="R68" s="15" t="n">
        <x:v>14</x:v>
      </x:c>
    </x:row>
    <x:row r="69" ht="42" customHeight="1">
      <x:c r="A69" s="21" t="str">
        <x:v>Guruch uni</x:v>
      </x:c>
      <x:c r="B69" s="21" t="str">
        <x:v>Guruch uni</x:v>
      </x:c>
      <x:c r="C69" s="1" t="str">
        <x:v>kg</x:v>
      </x:c>
      <x:c r="D69" s="23" t="n">
        <x:f>'PDF narxlari'!G11</x:f>
        <x:v>6000</x:v>
      </x:c>
      <x:c r="E69" s="23" t="n">
        <x:f>'PDF narxlari'!H11</x:f>
        <x:v>6000</x:v>
      </x:c>
      <x:c r="F69" s="19" t="n">
        <x:v>10</x:v>
      </x:c>
      <x:c r="G69" s="17" t="n">
        <x:v>178000</x:v>
      </x:c>
      <x:c r="H69" s="17" t="n">
        <x:v>0</x:v>
      </x:c>
      <x:c r="I69" s="17" t="n">
        <x:f>ROUND(F69*D69,0)+H69</x:f>
        <x:v>60000</x:v>
      </x:c>
      <x:c r="J69" s="17" t="n">
        <x:f>ROUND(F69*E69,0)+H69</x:f>
        <x:v>60000</x:v>
      </x:c>
      <x:c r="K69" s="19" t="n">
        <x:v>25</x:v>
      </x:c>
      <x:c r="L69" s="17" t="n">
        <x:v>404000</x:v>
      </x:c>
      <x:c r="M69" s="17" t="n">
        <x:v>0</x:v>
      </x:c>
      <x:c r="N69" s="17" t="n">
        <x:f>ROUND(K69*D69,0)+M69</x:f>
        <x:v>150000</x:v>
      </x:c>
      <x:c r="O69" s="17" t="n">
        <x:f>ROUND(K69*E69,0)+M69</x:f>
        <x:v>150000</x:v>
      </x:c>
      <x:c r="P69" s="21" t="str">
        <x:v>113: brendli un o'rniga shu turdagi xomashyo narxi. Nomda vazn yo‘q; saqlangan kg birligi olindi</x:v>
      </x:c>
      <x:c r="Q69" s="15" t="n">
        <x:v>10</x:v>
      </x:c>
      <x:c r="R69" s="15" t="n">
        <x:v>25</x:v>
      </x:c>
    </x:row>
    <x:row r="70" ht="42" customHeight="1">
      <x:c r="A70" s="22" t="str">
        <x:v>Chia urug'i 600gr</x:v>
      </x:c>
      <x:c r="B70" s="22" t="str">
        <x:v>Chia urug'i</x:v>
      </x:c>
      <x:c r="C70" s="16" t="str">
        <x:v>kg</x:v>
      </x:c>
      <x:c r="D70" s="24" t="n">
        <x:f>'PDF narxlari'!G38</x:f>
        <x:v>57000</x:v>
      </x:c>
      <x:c r="E70" s="24" t="n">
        <x:f>'PDF narxlari'!H38</x:f>
        <x:v>57000</x:v>
      </x:c>
      <x:c r="F70" s="20" t="n">
        <x:v>2.16</x:v>
      </x:c>
      <x:c r="G70" s="18" t="n">
        <x:v>178200</x:v>
      </x:c>
      <x:c r="H70" s="18" t="n">
        <x:v>0</x:v>
      </x:c>
      <x:c r="I70" s="18" t="n">
        <x:f>ROUND(F70*D70,0)+H70</x:f>
        <x:v>123120</x:v>
      </x:c>
      <x:c r="J70" s="18" t="n">
        <x:f>ROUND(F70*E70,0)+H70</x:f>
        <x:v>123120</x:v>
      </x:c>
      <x:c r="K70" s="20" t="n">
        <x:v>4.56</x:v>
      </x:c>
      <x:c r="L70" s="18" t="n">
        <x:v>387200</x:v>
      </x:c>
      <x:c r="M70" s="18" t="n">
        <x:v>0</x:v>
      </x:c>
      <x:c r="N70" s="18" t="n">
        <x:f>ROUND(K70*D70,0)+M70</x:f>
        <x:v>259920</x:v>
      </x:c>
      <x:c r="O70" s="18" t="n">
        <x:f>ROUND(K70*E70,0)+M70</x:f>
        <x:v>259920</x:v>
      </x:c>
      <x:c r="P70" s="22" t="str">
        <x:v>Kasr miqdor qadoq ulushi sifatida olindi (statistikadagi yozuv bo‘yicha)</x:v>
      </x:c>
      <x:c r="Q70" s="15" t="n">
        <x:v>3.6</x:v>
      </x:c>
      <x:c r="R70" s="15" t="n">
        <x:v>7.6</x:v>
      </x:c>
    </x:row>
    <x:row r="71" ht="42" customHeight="1">
      <x:c r="A71" s="21" t="str">
        <x:v>Kokos shakari 1000g</x:v>
      </x:c>
      <x:c r="B71" s="21" t="str">
        <x:v>Kokos shakari</x:v>
      </x:c>
      <x:c r="C71" s="1" t="str">
        <x:v>kg</x:v>
      </x:c>
      <x:c r="D71" s="23" t="n">
        <x:f>'PDF narxlari'!G54</x:f>
        <x:v>179000</x:v>
      </x:c>
      <x:c r="E71" s="23" t="n">
        <x:f>'PDF narxlari'!H54</x:f>
        <x:v>179000</x:v>
      </x:c>
      <x:c r="F71" s="19" t="n">
        <x:v>2</x:v>
      </x:c>
      <x:c r="G71" s="17" t="n">
        <x:v>380000</x:v>
      </x:c>
      <x:c r="H71" s="17" t="n">
        <x:v>0</x:v>
      </x:c>
      <x:c r="I71" s="17" t="n">
        <x:f>ROUND(F71*D71,0)+H71</x:f>
        <x:v>358000</x:v>
      </x:c>
      <x:c r="J71" s="17" t="n">
        <x:f>ROUND(F71*E71,0)+H71</x:f>
        <x:v>358000</x:v>
      </x:c>
      <x:c r="K71" s="19" t="n">
        <x:v>2</x:v>
      </x:c>
      <x:c r="L71" s="17" t="n">
        <x:v>380000</x:v>
      </x:c>
      <x:c r="M71" s="17" t="n">
        <x:v>0</x:v>
      </x:c>
      <x:c r="N71" s="17" t="n">
        <x:f>ROUND(K71*D71,0)+M71</x:f>
        <x:v>358000</x:v>
      </x:c>
      <x:c r="O71" s="17" t="n">
        <x:f>ROUND(K71*E71,0)+M71</x:f>
        <x:v>358000</x:v>
      </x:c>
      <x:c r="P71" s="21" t="str"/>
      <x:c r="Q71" s="15" t="n">
        <x:v>2</x:v>
      </x:c>
      <x:c r="R71" s="15" t="n">
        <x:v>2</x:v>
      </x:c>
    </x:row>
    <x:row r="72" ht="42" customHeight="1">
      <x:c r="A72" s="22" t="str">
        <x:v>Pista mag'zi 500gr</x:v>
      </x:c>
      <x:c r="B72" s="22" t="str">
        <x:v>Pista mag'zi</x:v>
      </x:c>
      <x:c r="C72" s="16" t="str">
        <x:v>kg</x:v>
      </x:c>
      <x:c r="D72" s="24" t="n">
        <x:f>'PDF narxlari'!G34</x:f>
        <x:v>22000</x:v>
      </x:c>
      <x:c r="E72" s="24" t="n">
        <x:f>'PDF narxlari'!H34</x:f>
        <x:v>22000</x:v>
      </x:c>
      <x:c r="F72" s="20" t="n">
        <x:v>11.5</x:v>
      </x:c>
      <x:c r="G72" s="18" t="n">
        <x:v>309200</x:v>
      </x:c>
      <x:c r="H72" s="18" t="n">
        <x:v>0</x:v>
      </x:c>
      <x:c r="I72" s="18" t="n">
        <x:f>ROUND(F72*D72,0)+H72</x:f>
        <x:v>253000</x:v>
      </x:c>
      <x:c r="J72" s="18" t="n">
        <x:f>ROUND(F72*E72,0)+H72</x:f>
        <x:v>253000</x:v>
      </x:c>
      <x:c r="K72" s="20" t="n">
        <x:v>13</x:v>
      </x:c>
      <x:c r="L72" s="18" t="n">
        <x:v>359600</x:v>
      </x:c>
      <x:c r="M72" s="18" t="n">
        <x:v>0</x:v>
      </x:c>
      <x:c r="N72" s="18" t="n">
        <x:f>ROUND(K72*D72,0)+M72</x:f>
        <x:v>286000</x:v>
      </x:c>
      <x:c r="O72" s="18" t="n">
        <x:f>ROUND(K72*E72,0)+M72</x:f>
        <x:v>286000</x:v>
      </x:c>
      <x:c r="P72" s="22" t="str"/>
      <x:c r="Q72" s="15" t="n">
        <x:v>19</x:v>
      </x:c>
      <x:c r="R72" s="15" t="n">
        <x:v>22</x:v>
      </x:c>
    </x:row>
    <x:row r="73" ht="42" customHeight="1">
      <x:c r="A73" s="21" t="str">
        <x:v>Toza Steviya 50gr</x:v>
      </x:c>
      <x:c r="B73" s="21" t="str">
        <x:v>Sof stevia</x:v>
      </x:c>
      <x:c r="C73" s="1" t="str">
        <x:v>kg</x:v>
      </x:c>
      <x:c r="D73" s="23" t="n">
        <x:f>'PDF narxlari'!G50</x:f>
        <x:v>1302281.2</x:v>
      </x:c>
      <x:c r="E73" s="23" t="n">
        <x:f>'PDF narxlari'!H50</x:f>
        <x:v>1302281.2</x:v>
      </x:c>
      <x:c r="F73" s="19" t="n">
        <x:v>0.1</x:v>
      </x:c>
      <x:c r="G73" s="17" t="n">
        <x:v>315000</x:v>
      </x:c>
      <x:c r="H73" s="17" t="n">
        <x:v>0</x:v>
      </x:c>
      <x:c r="I73" s="17" t="n">
        <x:f>ROUND(F73*D73,0)+H73</x:f>
        <x:v>130228</x:v>
      </x:c>
      <x:c r="J73" s="17" t="n">
        <x:f>ROUND(F73*E73,0)+H73</x:f>
        <x:v>130228</x:v>
      </x:c>
      <x:c r="K73" s="19" t="n">
        <x:v>0.1</x:v>
      </x:c>
      <x:c r="L73" s="17" t="n">
        <x:v>315000</x:v>
      </x:c>
      <x:c r="M73" s="17" t="n">
        <x:v>0</x:v>
      </x:c>
      <x:c r="N73" s="17" t="n">
        <x:f>ROUND(K73*D73,0)+M73</x:f>
        <x:v>130228</x:v>
      </x:c>
      <x:c r="O73" s="17" t="n">
        <x:f>ROUND(K73*E73,0)+M73</x:f>
        <x:v>130228</x:v>
      </x:c>
      <x:c r="P73" s="21" t="str"/>
      <x:c r="Q73" s="15" t="n">
        <x:v>2</x:v>
      </x:c>
      <x:c r="R73" s="15" t="n">
        <x:v>2</x:v>
      </x:c>
    </x:row>
    <x:row r="74" ht="42" customHeight="1">
      <x:c r="A74" s="22" t="str">
        <x:v>Yeryong'oq pasta 200gr</x:v>
      </x:c>
      <x:c r="B74" s="22" t="str">
        <x:v>Yeryong'oq pastasi</x:v>
      </x:c>
      <x:c r="C74" s="16" t="str">
        <x:v>kg</x:v>
      </x:c>
      <x:c r="D74" s="24" t="n">
        <x:f>'PDF narxlari'!G59</x:f>
        <x:v>95000</x:v>
      </x:c>
      <x:c r="E74" s="24" t="n">
        <x:f>'PDF narxlari'!H59</x:f>
        <x:v>110000</x:v>
      </x:c>
      <x:c r="F74" s="20" t="n">
        <x:v>0.6</x:v>
      </x:c>
      <x:c r="G74" s="18" t="n">
        <x:v>169000</x:v>
      </x:c>
      <x:c r="H74" s="18" t="n">
        <x:v>88000</x:v>
      </x:c>
      <x:c r="I74" s="18" t="n">
        <x:f>ROUND(F74*D74,0)+H74</x:f>
        <x:v>145000</x:v>
      </x:c>
      <x:c r="J74" s="18" t="n">
        <x:f>ROUND(F74*E74,0)+H74</x:f>
        <x:v>154000</x:v>
      </x:c>
      <x:c r="K74" s="20" t="n">
        <x:v>1</x:v>
      </x:c>
      <x:c r="L74" s="18" t="n">
        <x:v>314000</x:v>
      </x:c>
      <x:c r="M74" s="18" t="n">
        <x:v>176000</x:v>
      </x:c>
      <x:c r="N74" s="18" t="n">
        <x:f>ROUND(K74*D74,0)+M74</x:f>
        <x:v>271000</x:v>
      </x:c>
      <x:c r="O74" s="18" t="n">
        <x:f>ROUND(K74*E74,0)+M74</x:f>
        <x:v>286000</x:v>
      </x:c>
      <x:c r="P74" s="22" t="str">
        <x:v>B2B yozuvida g birligi bor; dona/kg noaniq, shu qism amaldagi summada qoldi</x:v>
      </x:c>
      <x:c r="Q74" s="15" t="n">
        <x:v>7</x:v>
      </x:c>
      <x:c r="R74" s="15" t="n">
        <x:v>13</x:v>
      </x:c>
    </x:row>
    <x:row r="75" ht="42" customHeight="1">
      <x:c r="A75" s="21" t="str">
        <x:v>Yashil grechka doni 1000gr</x:v>
      </x:c>
      <x:c r="B75" s="21" t="str">
        <x:v>Yashil grechka doni</x:v>
      </x:c>
      <x:c r="C75" s="1" t="str">
        <x:v>kg</x:v>
      </x:c>
      <x:c r="D75" s="23" t="n">
        <x:f>'PDF narxlari'!G31</x:f>
        <x:v>27000</x:v>
      </x:c>
      <x:c r="E75" s="23" t="n">
        <x:f>'PDF narxlari'!H31</x:f>
        <x:v>27000</x:v>
      </x:c>
      <x:c r="F75" s="19" t="n">
        <x:v>4</x:v>
      </x:c>
      <x:c r="G75" s="17" t="n">
        <x:v>129000</x:v>
      </x:c>
      <x:c r="H75" s="17" t="n">
        <x:v>0</x:v>
      </x:c>
      <x:c r="I75" s="17" t="n">
        <x:f>ROUND(F75*D75,0)+H75</x:f>
        <x:v>108000</x:v>
      </x:c>
      <x:c r="J75" s="17" t="n">
        <x:f>ROUND(F75*E75,0)+H75</x:f>
        <x:v>108000</x:v>
      </x:c>
      <x:c r="K75" s="19" t="n">
        <x:v>9</x:v>
      </x:c>
      <x:c r="L75" s="17" t="n">
        <x:v>298200</x:v>
      </x:c>
      <x:c r="M75" s="17" t="n">
        <x:v>0</x:v>
      </x:c>
      <x:c r="N75" s="17" t="n">
        <x:f>ROUND(K75*D75,0)+M75</x:f>
        <x:v>243000</x:v>
      </x:c>
      <x:c r="O75" s="17" t="n">
        <x:f>ROUND(K75*E75,0)+M75</x:f>
        <x:v>243000</x:v>
      </x:c>
      <x:c r="P75" s="21" t="str"/>
      <x:c r="Q75" s="15" t="n">
        <x:v>4</x:v>
      </x:c>
      <x:c r="R75" s="15" t="n">
        <x:v>9</x:v>
      </x:c>
    </x:row>
    <x:row r="76" ht="42" customHeight="1">
      <x:c r="A76" s="22" t="str">
        <x:v>Zig'ir uni 1000gr</x:v>
      </x:c>
      <x:c r="B76" s="22" t="str">
        <x:v>Zig'ir uni</x:v>
      </x:c>
      <x:c r="C76" s="16" t="str">
        <x:v>kg</x:v>
      </x:c>
      <x:c r="D76" s="24" t="n">
        <x:f>'PDF narxlari'!G20</x:f>
        <x:v>26000</x:v>
      </x:c>
      <x:c r="E76" s="24" t="n">
        <x:f>'PDF narxlari'!H20</x:f>
        <x:v>26000</x:v>
      </x:c>
      <x:c r="F76" s="20" t="n">
        <x:v>2</x:v>
      </x:c>
      <x:c r="G76" s="18" t="n">
        <x:v>70300</x:v>
      </x:c>
      <x:c r="H76" s="18" t="n">
        <x:v>0</x:v>
      </x:c>
      <x:c r="I76" s="18" t="n">
        <x:f>ROUND(F76*D76,0)+H76</x:f>
        <x:v>52000</x:v>
      </x:c>
      <x:c r="J76" s="18" t="n">
        <x:f>ROUND(F76*E76,0)+H76</x:f>
        <x:v>52000</x:v>
      </x:c>
      <x:c r="K76" s="20" t="n">
        <x:v>8</x:v>
      </x:c>
      <x:c r="L76" s="18" t="n">
        <x:v>288600</x:v>
      </x:c>
      <x:c r="M76" s="18" t="n">
        <x:v>0</x:v>
      </x:c>
      <x:c r="N76" s="18" t="n">
        <x:f>ROUND(K76*D76,0)+M76</x:f>
        <x:v>208000</x:v>
      </x:c>
      <x:c r="O76" s="18" t="n">
        <x:f>ROUND(K76*E76,0)+M76</x:f>
        <x:v>208000</x:v>
      </x:c>
      <x:c r="P76" s="22" t="str">
        <x:v>117: brendli un o'rniga shu turdagi xomashyo narxi.</x:v>
      </x:c>
      <x:c r="Q76" s="15" t="n">
        <x:v>2</x:v>
      </x:c>
      <x:c r="R76" s="15" t="n">
        <x:v>8</x:v>
      </x:c>
    </x:row>
    <x:row r="77" ht="42" customHeight="1">
      <x:c r="A77" s="21" t="str">
        <x:v>Psillium 1kg</x:v>
      </x:c>
      <x:c r="B77" s="21" t="str">
        <x:v>Narx qo‘llanmagan</x:v>
      </x:c>
      <x:c r="C77" s="1" t="str"/>
      <x:c r="D77" s="23"/>
      <x:c r="E77" s="23"/>
      <x:c r="F77" s="19" t="n">
        <x:v>0</x:v>
      </x:c>
      <x:c r="G77" s="17" t="n">
        <x:v>0</x:v>
      </x:c>
      <x:c r="H77" s="17" t="n">
        <x:v>0</x:v>
      </x:c>
      <x:c r="I77" s="17" t="n">
        <x:f>G77</x:f>
        <x:v>0</x:v>
      </x:c>
      <x:c r="J77" s="17" t="n">
        <x:f>G77</x:f>
        <x:v>0</x:v>
      </x:c>
      <x:c r="K77" s="19" t="n">
        <x:v>0</x:v>
      </x:c>
      <x:c r="L77" s="17" t="n">
        <x:v>270000</x:v>
      </x:c>
      <x:c r="M77" s="17" t="n">
        <x:v>270000</x:v>
      </x:c>
      <x:c r="N77" s="17" t="n">
        <x:f>L77</x:f>
        <x:v>270000</x:v>
      </x:c>
      <x:c r="O77" s="17" t="n">
        <x:f>L77</x:f>
        <x:v>270000</x:v>
      </x:c>
      <x:c r="P77" s="21" t="str">
        <x:v>Psillium turi (un yoki sheluxa) ko'rsatilmagan</x:v>
      </x:c>
      <x:c r="Q77" s="15" t="n">
        <x:v>0</x:v>
      </x:c>
      <x:c r="R77" s="15" t="n">
        <x:v>1</x:v>
      </x:c>
    </x:row>
    <x:row r="78" ht="42" customHeight="1">
      <x:c r="A78" s="22" t="str">
        <x:v>Ksantan kamedi 200gr</x:v>
      </x:c>
      <x:c r="B78" s="22" t="str">
        <x:v>Ksantan kamedi</x:v>
      </x:c>
      <x:c r="C78" s="16" t="str">
        <x:v>kg</x:v>
      </x:c>
      <x:c r="D78" s="24" t="n">
        <x:f>'PDF narxlari'!G66</x:f>
        <x:v>55000</x:v>
      </x:c>
      <x:c r="E78" s="24" t="n">
        <x:f>'PDF narxlari'!H66</x:f>
        <x:v>55000</x:v>
      </x:c>
      <x:c r="F78" s="20" t="n">
        <x:v>1.2</x:v>
      </x:c>
      <x:c r="G78" s="18" t="n">
        <x:v>218300</x:v>
      </x:c>
      <x:c r="H78" s="18" t="n">
        <x:v>0</x:v>
      </x:c>
      <x:c r="I78" s="18" t="n">
        <x:f>ROUND(F78*D78,0)+H78</x:f>
        <x:v>66000</x:v>
      </x:c>
      <x:c r="J78" s="18" t="n">
        <x:f>ROUND(F78*E78,0)+H78</x:f>
        <x:v>66000</x:v>
      </x:c>
      <x:c r="K78" s="20" t="n">
        <x:v>1.4</x:v>
      </x:c>
      <x:c r="L78" s="18" t="n">
        <x:v>255300</x:v>
      </x:c>
      <x:c r="M78" s="18" t="n">
        <x:v>0</x:v>
      </x:c>
      <x:c r="N78" s="18" t="n">
        <x:f>ROUND(K78*D78,0)+M78</x:f>
        <x:v>77000</x:v>
      </x:c>
      <x:c r="O78" s="18" t="n">
        <x:f>ROUND(K78*E78,0)+M78</x:f>
        <x:v>77000</x:v>
      </x:c>
      <x:c r="P78" s="22" t="str"/>
      <x:c r="Q78" s="15" t="n">
        <x:v>6</x:v>
      </x:c>
      <x:c r="R78" s="15" t="n">
        <x:v>7</x:v>
      </x:c>
    </x:row>
    <x:row r="79" ht="42" customHeight="1">
      <x:c r="A79" s="21" t="str">
        <x:v>Kokos shakari 250gr</x:v>
      </x:c>
      <x:c r="B79" s="21" t="str">
        <x:v>Kokos shakari</x:v>
      </x:c>
      <x:c r="C79" s="1" t="str">
        <x:v>kg</x:v>
      </x:c>
      <x:c r="D79" s="23" t="n">
        <x:f>'PDF narxlari'!G54</x:f>
        <x:v>179000</x:v>
      </x:c>
      <x:c r="E79" s="23" t="n">
        <x:f>'PDF narxlari'!H54</x:f>
        <x:v>179000</x:v>
      </x:c>
      <x:c r="F79" s="19" t="n">
        <x:v>0.75</x:v>
      </x:c>
      <x:c r="G79" s="17" t="n">
        <x:v>145600</x:v>
      </x:c>
      <x:c r="H79" s="17" t="n">
        <x:v>0</x:v>
      </x:c>
      <x:c r="I79" s="17" t="n">
        <x:f>ROUND(F79*D79,0)+H79</x:f>
        <x:v>134250</x:v>
      </x:c>
      <x:c r="J79" s="17" t="n">
        <x:f>ROUND(F79*E79,0)+H79</x:f>
        <x:v>134250</x:v>
      </x:c>
      <x:c r="K79" s="19" t="n">
        <x:v>1.25</x:v>
      </x:c>
      <x:c r="L79" s="17" t="n">
        <x:v>249600</x:v>
      </x:c>
      <x:c r="M79" s="17" t="n">
        <x:v>0</x:v>
      </x:c>
      <x:c r="N79" s="17" t="n">
        <x:f>ROUND(K79*D79,0)+M79</x:f>
        <x:v>223750</x:v>
      </x:c>
      <x:c r="O79" s="17" t="n">
        <x:f>ROUND(K79*E79,0)+M79</x:f>
        <x:v>223750</x:v>
      </x:c>
      <x:c r="P79" s="21" t="str"/>
      <x:c r="Q79" s="15" t="n">
        <x:v>3</x:v>
      </x:c>
      <x:c r="R79" s="15" t="n">
        <x:v>5</x:v>
      </x:c>
    </x:row>
    <x:row r="80" ht="42" customHeight="1">
      <x:c r="A80" s="22" t="str">
        <x:v>Polba uni</x:v>
      </x:c>
      <x:c r="B80" s="22" t="str">
        <x:v>Polba uni</x:v>
      </x:c>
      <x:c r="C80" s="16" t="str">
        <x:v>kg</x:v>
      </x:c>
      <x:c r="D80" s="24" t="n">
        <x:f>'PDF narxlari'!G22</x:f>
        <x:v>35000</x:v>
      </x:c>
      <x:c r="E80" s="24" t="n">
        <x:f>'PDF narxlari'!H22</x:f>
        <x:v>35000</x:v>
      </x:c>
      <x:c r="F80" s="20" t="n">
        <x:v>2</x:v>
      </x:c>
      <x:c r="G80" s="18" t="n">
        <x:v>77400</x:v>
      </x:c>
      <x:c r="H80" s="18" t="n">
        <x:v>0</x:v>
      </x:c>
      <x:c r="I80" s="18" t="n">
        <x:f>ROUND(F80*D80,0)+H80</x:f>
        <x:v>70000</x:v>
      </x:c>
      <x:c r="J80" s="18" t="n">
        <x:f>ROUND(F80*E80,0)+H80</x:f>
        <x:v>70000</x:v>
      </x:c>
      <x:c r="K80" s="20" t="n">
        <x:v>6</x:v>
      </x:c>
      <x:c r="L80" s="18" t="n">
        <x:v>249400</x:v>
      </x:c>
      <x:c r="M80" s="18" t="n">
        <x:v>0</x:v>
      </x:c>
      <x:c r="N80" s="18" t="n">
        <x:f>ROUND(K80*D80,0)+M80</x:f>
        <x:v>210000</x:v>
      </x:c>
      <x:c r="O80" s="18" t="n">
        <x:f>ROUND(K80*E80,0)+M80</x:f>
        <x:v>210000</x:v>
      </x:c>
      <x:c r="P80" s="22" t="str">
        <x:v>Nomda vazn yo‘q; saqlangan kg birligi olindi</x:v>
      </x:c>
      <x:c r="Q80" s="15" t="n">
        <x:v>2</x:v>
      </x:c>
      <x:c r="R80" s="15" t="n">
        <x:v>6</x:v>
      </x:c>
    </x:row>
    <x:row r="81" ht="42" customHeight="1">
      <x:c r="A81" s="21" t="str">
        <x:v>Grechka uni</x:v>
      </x:c>
      <x:c r="B81" s="21" t="str">
        <x:v>Grechka uni</x:v>
      </x:c>
      <x:c r="C81" s="1" t="str">
        <x:v>kg</x:v>
      </x:c>
      <x:c r="D81" s="23" t="n">
        <x:f>'PDF narxlari'!G14</x:f>
        <x:v>13000</x:v>
      </x:c>
      <x:c r="E81" s="23" t="n">
        <x:f>'PDF narxlari'!H14</x:f>
        <x:v>13000</x:v>
      </x:c>
      <x:c r="F81" s="19" t="n">
        <x:v>4</x:v>
      </x:c>
      <x:c r="G81" s="17" t="n">
        <x:v>97500</x:v>
      </x:c>
      <x:c r="H81" s="17" t="n">
        <x:v>0</x:v>
      </x:c>
      <x:c r="I81" s="17" t="n">
        <x:f>ROUND(F81*D81,0)+H81</x:f>
        <x:v>52000</x:v>
      </x:c>
      <x:c r="J81" s="17" t="n">
        <x:f>ROUND(F81*E81,0)+H81</x:f>
        <x:v>52000</x:v>
      </x:c>
      <x:c r="K81" s="19" t="n">
        <x:v>10</x:v>
      </x:c>
      <x:c r="L81" s="17" t="n">
        <x:v>245000</x:v>
      </x:c>
      <x:c r="M81" s="17" t="n">
        <x:v>0</x:v>
      </x:c>
      <x:c r="N81" s="17" t="n">
        <x:f>ROUND(K81*D81,0)+M81</x:f>
        <x:v>130000</x:v>
      </x:c>
      <x:c r="O81" s="17" t="n">
        <x:f>ROUND(K81*E81,0)+M81</x:f>
        <x:v>130000</x:v>
      </x:c>
      <x:c r="P81" s="21" t="str">
        <x:v>114: brendli un o'rniga shu turdagi xomashyo narxi. Nomda vazn yo‘q; saqlangan kg birligi olindi</x:v>
      </x:c>
      <x:c r="Q81" s="15" t="n">
        <x:v>4</x:v>
      </x:c>
      <x:c r="R81" s="15" t="n">
        <x:v>10</x:v>
      </x:c>
    </x:row>
    <x:row r="82" ht="42" customHeight="1">
      <x:c r="A82" s="22" t="str">
        <x:v>Qora fermentlangan Solod 1kg</x:v>
      </x:c>
      <x:c r="B82" s="22" t="str">
        <x:v>Solod</x:v>
      </x:c>
      <x:c r="C82" s="16" t="str">
        <x:v>kg</x:v>
      </x:c>
      <x:c r="D82" s="24" t="n">
        <x:f>'PDF narxlari'!G65</x:f>
        <x:v>12000</x:v>
      </x:c>
      <x:c r="E82" s="24" t="n">
        <x:f>'PDF narxlari'!H65</x:f>
        <x:v>12000</x:v>
      </x:c>
      <x:c r="F82" s="20" t="n">
        <x:v>10</x:v>
      </x:c>
      <x:c r="G82" s="18" t="n">
        <x:v>160000</x:v>
      </x:c>
      <x:c r="H82" s="18" t="n">
        <x:v>0</x:v>
      </x:c>
      <x:c r="I82" s="18" t="n">
        <x:f>ROUND(F82*D82,0)+H82</x:f>
        <x:v>120000</x:v>
      </x:c>
      <x:c r="J82" s="18" t="n">
        <x:f>ROUND(F82*E82,0)+H82</x:f>
        <x:v>120000</x:v>
      </x:c>
      <x:c r="K82" s="20" t="n">
        <x:v>14</x:v>
      </x:c>
      <x:c r="L82" s="18" t="n">
        <x:v>232200</x:v>
      </x:c>
      <x:c r="M82" s="18" t="n">
        <x:v>0</x:v>
      </x:c>
      <x:c r="N82" s="18" t="n">
        <x:f>ROUND(K82*D82,0)+M82</x:f>
        <x:v>168000</x:v>
      </x:c>
      <x:c r="O82" s="18" t="n">
        <x:f>ROUND(K82*E82,0)+M82</x:f>
        <x:v>168000</x:v>
      </x:c>
      <x:c r="P82" s="22" t="str">
        <x:v>PDFda solod turi ajratilmagan; oq/qora uchun umumiy solod narxi.</x:v>
      </x:c>
      <x:c r="Q82" s="15" t="n">
        <x:v>10</x:v>
      </x:c>
      <x:c r="R82" s="15" t="n">
        <x:v>14</x:v>
      </x:c>
    </x:row>
    <x:row r="83" ht="42" customHeight="1">
      <x:c r="A83" s="21" t="str">
        <x:v>Qovoq urugʻi 200gr</x:v>
      </x:c>
      <x:c r="B83" s="21" t="str">
        <x:v>Qovoq urug'i (O'zbekiston)</x:v>
      </x:c>
      <x:c r="C83" s="1" t="str">
        <x:v>kg</x:v>
      </x:c>
      <x:c r="D83" s="23" t="n">
        <x:f>'PDF narxlari'!G40</x:f>
        <x:v>210000</x:v>
      </x:c>
      <x:c r="E83" s="23" t="n">
        <x:f>'PDF narxlari'!H40</x:f>
        <x:v>210000</x:v>
      </x:c>
      <x:c r="F83" s="19" t="n">
        <x:v>1</x:v>
      </x:c>
      <x:c r="G83" s="17" t="n">
        <x:v>181300</x:v>
      </x:c>
      <x:c r="H83" s="17" t="n">
        <x:v>0</x:v>
      </x:c>
      <x:c r="I83" s="17" t="n">
        <x:f>ROUND(F83*D83,0)+H83</x:f>
        <x:v>210000</x:v>
      </x:c>
      <x:c r="J83" s="17" t="n">
        <x:f>ROUND(F83*E83,0)+H83</x:f>
        <x:v>210000</x:v>
      </x:c>
      <x:c r="K83" s="19" t="n">
        <x:v>1.2</x:v>
      </x:c>
      <x:c r="L83" s="17" t="n">
        <x:v>230300</x:v>
      </x:c>
      <x:c r="M83" s="17" t="n">
        <x:v>0</x:v>
      </x:c>
      <x:c r="N83" s="17" t="n">
        <x:f>ROUND(K83*D83,0)+M83</x:f>
        <x:v>252000</x:v>
      </x:c>
      <x:c r="O83" s="17" t="n">
        <x:f>ROUND(K83*E83,0)+M83</x:f>
        <x:v>252000</x:v>
      </x:c>
      <x:c r="P83" s="21" t="str"/>
      <x:c r="Q83" s="15" t="n">
        <x:v>5</x:v>
      </x:c>
      <x:c r="R83" s="15" t="n">
        <x:v>6</x:v>
      </x:c>
    </x:row>
    <x:row r="84" ht="42" customHeight="1">
      <x:c r="A84" s="22" t="str">
        <x:v>Toza Steviya 20gr</x:v>
      </x:c>
      <x:c r="B84" s="22" t="str">
        <x:v>Sof stevia</x:v>
      </x:c>
      <x:c r="C84" s="16" t="str">
        <x:v>kg</x:v>
      </x:c>
      <x:c r="D84" s="24" t="n">
        <x:f>'PDF narxlari'!G50</x:f>
        <x:v>1302281.2</x:v>
      </x:c>
      <x:c r="E84" s="24" t="n">
        <x:f>'PDF narxlari'!H50</x:f>
        <x:v>1302281.2</x:v>
      </x:c>
      <x:c r="F84" s="20" t="n">
        <x:v>0.04</x:v>
      </x:c>
      <x:c r="G84" s="18" t="n">
        <x:v>142500</x:v>
      </x:c>
      <x:c r="H84" s="18" t="n">
        <x:v>0</x:v>
      </x:c>
      <x:c r="I84" s="18" t="n">
        <x:f>ROUND(F84*D84,0)+H84</x:f>
        <x:v>52091</x:v>
      </x:c>
      <x:c r="J84" s="18" t="n">
        <x:f>ROUND(F84*E84,0)+H84</x:f>
        <x:v>52091</x:v>
      </x:c>
      <x:c r="K84" s="20" t="n">
        <x:v>0.06</x:v>
      </x:c>
      <x:c r="L84" s="18" t="n">
        <x:v>217500</x:v>
      </x:c>
      <x:c r="M84" s="18" t="n">
        <x:v>0</x:v>
      </x:c>
      <x:c r="N84" s="18" t="n">
        <x:f>ROUND(K84*D84,0)+M84</x:f>
        <x:v>78137</x:v>
      </x:c>
      <x:c r="O84" s="18" t="n">
        <x:f>ROUND(K84*E84,0)+M84</x:f>
        <x:v>78137</x:v>
      </x:c>
      <x:c r="P84" s="22" t="str"/>
      <x:c r="Q84" s="15" t="n">
        <x:v>2</x:v>
      </x:c>
      <x:c r="R84" s="15" t="n">
        <x:v>3</x:v>
      </x:c>
    </x:row>
    <x:row r="85" ht="42" customHeight="1">
      <x:c r="A85" s="21" t="str">
        <x:v>Olma sirkasi (Turkiya) 5% 500ml</x:v>
      </x:c>
      <x:c r="B85" s="21" t="str">
        <x:v>Olma sirkasi</x:v>
      </x:c>
      <x:c r="C85" s="1" t="str">
        <x:v>l</x:v>
      </x:c>
      <x:c r="D85" s="23" t="n">
        <x:f>'PDF narxlari'!G49</x:f>
        <x:v>64000</x:v>
      </x:c>
      <x:c r="E85" s="23" t="n">
        <x:f>'PDF narxlari'!H49</x:f>
        <x:v>64000</x:v>
      </x:c>
      <x:c r="F85" s="19" t="n">
        <x:v>1.5</x:v>
      </x:c>
      <x:c r="G85" s="17" t="n">
        <x:v>216000</x:v>
      </x:c>
      <x:c r="H85" s="17" t="n">
        <x:v>0</x:v>
      </x:c>
      <x:c r="I85" s="17" t="n">
        <x:f>ROUND(F85*D85,0)+H85</x:f>
        <x:v>96000</x:v>
      </x:c>
      <x:c r="J85" s="17" t="n">
        <x:f>ROUND(F85*E85,0)+H85</x:f>
        <x:v>96000</x:v>
      </x:c>
      <x:c r="K85" s="19" t="n">
        <x:v>1.5</x:v>
      </x:c>
      <x:c r="L85" s="17" t="n">
        <x:v>216000</x:v>
      </x:c>
      <x:c r="M85" s="17" t="n">
        <x:v>0</x:v>
      </x:c>
      <x:c r="N85" s="17" t="n">
        <x:f>ROUND(K85*D85,0)+M85</x:f>
        <x:v>96000</x:v>
      </x:c>
      <x:c r="O85" s="17" t="n">
        <x:f>ROUND(K85*E85,0)+M85</x:f>
        <x:v>96000</x:v>
      </x:c>
      <x:c r="P85" s="21" t="str"/>
      <x:c r="Q85" s="15" t="n">
        <x:v>3</x:v>
      </x:c>
      <x:c r="R85" s="15" t="n">
        <x:v>3</x:v>
      </x:c>
    </x:row>
    <x:row r="86" ht="42" customHeight="1">
      <x:c r="A86" s="22" t="str">
        <x:v>Oq kunjut 600gr</x:v>
      </x:c>
      <x:c r="B86" s="22" t="str">
        <x:v>Oq kunjut</x:v>
      </x:c>
      <x:c r="C86" s="16" t="str">
        <x:v>kg</x:v>
      </x:c>
      <x:c r="D86" s="24" t="n">
        <x:f>'PDF narxlari'!G35</x:f>
        <x:v>28000</x:v>
      </x:c>
      <x:c r="E86" s="24" t="n">
        <x:f>'PDF narxlari'!H35</x:f>
        <x:v>28000</x:v>
      </x:c>
      <x:c r="F86" s="20" t="n">
        <x:v>3</x:v>
      </x:c>
      <x:c r="G86" s="18" t="n">
        <x:v>155700</x:v>
      </x:c>
      <x:c r="H86" s="18" t="n">
        <x:v>0</x:v>
      </x:c>
      <x:c r="I86" s="18" t="n">
        <x:f>ROUND(F86*D86,0)+H86</x:f>
        <x:v>84000</x:v>
      </x:c>
      <x:c r="J86" s="18" t="n">
        <x:f>ROUND(F86*E86,0)+H86</x:f>
        <x:v>84000</x:v>
      </x:c>
      <x:c r="K86" s="20" t="n">
        <x:v>4.2</x:v>
      </x:c>
      <x:c r="L86" s="18" t="n">
        <x:v>215700</x:v>
      </x:c>
      <x:c r="M86" s="18" t="n">
        <x:v>0</x:v>
      </x:c>
      <x:c r="N86" s="18" t="n">
        <x:f>ROUND(K86*D86,0)+M86</x:f>
        <x:v>117600</x:v>
      </x:c>
      <x:c r="O86" s="18" t="n">
        <x:f>ROUND(K86*E86,0)+M86</x:f>
        <x:v>117600</x:v>
      </x:c>
      <x:c r="P86" s="22" t="str">
        <x:v>Kasr miqdor qadoq ulushi sifatida olindi (statistikadagi yozuv bo‘yicha)</x:v>
      </x:c>
      <x:c r="Q86" s="15" t="n">
        <x:v>5</x:v>
      </x:c>
      <x:c r="R86" s="15" t="n">
        <x:v>7</x:v>
      </x:c>
    </x:row>
    <x:row r="87" ht="42" customHeight="1">
      <x:c r="A87" s="21" t="str">
        <x:v>Koritsa 70g</x:v>
      </x:c>
      <x:c r="B87" s="21" t="str">
        <x:v>Narx qo‘llanmagan</x:v>
      </x:c>
      <x:c r="C87" s="1" t="str"/>
      <x:c r="D87" s="23"/>
      <x:c r="E87" s="23"/>
      <x:c r="F87" s="19" t="n">
        <x:v>0</x:v>
      </x:c>
      <x:c r="G87" s="17" t="n">
        <x:v>107300</x:v>
      </x:c>
      <x:c r="H87" s="17" t="n">
        <x:v>107300</x:v>
      </x:c>
      <x:c r="I87" s="17" t="n">
        <x:f>G87</x:f>
        <x:v>107300</x:v>
      </x:c>
      <x:c r="J87" s="17" t="n">
        <x:f>G87</x:f>
        <x:v>107300</x:v>
      </x:c>
      <x:c r="K87" s="19" t="n">
        <x:v>0</x:v>
      </x:c>
      <x:c r="L87" s="17" t="n">
        <x:v>214600</x:v>
      </x:c>
      <x:c r="M87" s="17" t="n">
        <x:v>214600</x:v>
      </x:c>
      <x:c r="N87" s="17" t="n">
        <x:f>L87</x:f>
        <x:v>214600</x:v>
      </x:c>
      <x:c r="O87" s="17" t="n">
        <x:f>L87</x:f>
        <x:v>214600</x:v>
      </x:c>
      <x:c r="P87" s="21" t="str">
        <x:v>PDFda koritsa yo'q</x:v>
      </x:c>
      <x:c r="Q87" s="15" t="n">
        <x:v>3</x:v>
      </x:c>
      <x:c r="R87" s="15" t="n">
        <x:v>6</x:v>
      </x:c>
    </x:row>
    <x:row r="88" ht="42" customHeight="1">
      <x:c r="A88" s="22" t="str">
        <x:v>2-nav un</x:v>
      </x:c>
      <x:c r="B88" s="22" t="str">
        <x:v>Narx qo‘llanmagan</x:v>
      </x:c>
      <x:c r="C88" s="16" t="str"/>
      <x:c r="D88" s="24"/>
      <x:c r="E88" s="24"/>
      <x:c r="F88" s="20" t="n">
        <x:v>0</x:v>
      </x:c>
      <x:c r="G88" s="18" t="n">
        <x:v>177000</x:v>
      </x:c>
      <x:c r="H88" s="18" t="n">
        <x:v>177000</x:v>
      </x:c>
      <x:c r="I88" s="18" t="n">
        <x:f>G88</x:f>
        <x:v>177000</x:v>
      </x:c>
      <x:c r="J88" s="18" t="n">
        <x:f>G88</x:f>
        <x:v>177000</x:v>
      </x:c>
      <x:c r="K88" s="20" t="n">
        <x:v>0</x:v>
      </x:c>
      <x:c r="L88" s="18" t="n">
        <x:v>212100</x:v>
      </x:c>
      <x:c r="M88" s="18" t="n">
        <x:v>212100</x:v>
      </x:c>
      <x:c r="N88" s="18" t="n">
        <x:f>L88</x:f>
        <x:v>212100</x:v>
      </x:c>
      <x:c r="O88" s="18" t="n">
        <x:f>L88</x:f>
        <x:v>212100</x:v>
      </x:c>
      <x:c r="P88" s="22" t="str">
        <x:v>2-nav un; PDFda aynan shu nav yo'q</x:v>
      </x:c>
      <x:c r="Q88" s="15" t="n">
        <x:v>28</x:v>
      </x:c>
      <x:c r="R88" s="15" t="n">
        <x:v>32</x:v>
      </x:c>
    </x:row>
    <x:row r="89" ht="42" customHeight="1">
      <x:c r="A89" s="21" t="str">
        <x:v>Kokos qirindisi 200gr</x:v>
      </x:c>
      <x:c r="B89" s="21" t="str">
        <x:v>Kokos strujkasi</x:v>
      </x:c>
      <x:c r="C89" s="1" t="str">
        <x:v>kg</x:v>
      </x:c>
      <x:c r="D89" s="23" t="n">
        <x:f>'PDF narxlari'!G61</x:f>
        <x:v>53000</x:v>
      </x:c>
      <x:c r="E89" s="23" t="n">
        <x:f>'PDF narxlari'!H61</x:f>
        <x:v>53000</x:v>
      </x:c>
      <x:c r="F89" s="19" t="n">
        <x:v>6.08</x:v>
      </x:c>
      <x:c r="G89" s="17" t="n">
        <x:v>158030</x:v>
      </x:c>
      <x:c r="H89" s="17" t="n">
        <x:v>0</x:v>
      </x:c>
      <x:c r="I89" s="17" t="n">
        <x:f>ROUND(F89*D89,0)+H89</x:f>
        <x:v>322240</x:v>
      </x:c>
      <x:c r="J89" s="17" t="n">
        <x:f>ROUND(F89*E89,0)+H89</x:f>
        <x:v>322240</x:v>
      </x:c>
      <x:c r="K89" s="19" t="n">
        <x:v>6.68</x:v>
      </x:c>
      <x:c r="L89" s="17" t="n">
        <x:v>212030</x:v>
      </x:c>
      <x:c r="M89" s="17" t="n">
        <x:v>0</x:v>
      </x:c>
      <x:c r="N89" s="17" t="n">
        <x:f>ROUND(K89*D89,0)+M89</x:f>
        <x:v>354040</x:v>
      </x:c>
      <x:c r="O89" s="17" t="n">
        <x:f>ROUND(K89*E89,0)+M89</x:f>
        <x:v>354040</x:v>
      </x:c>
      <x:c r="P89" s="21" t="str">
        <x:v>Kasr miqdor qadoq ulushi sifatida olindi (statistikadagi yozuv bo‘yicha)</x:v>
      </x:c>
      <x:c r="Q89" s="15" t="n">
        <x:v>10.4</x:v>
      </x:c>
      <x:c r="R89" s="15" t="n">
        <x:v>13.4</x:v>
      </x:c>
    </x:row>
    <x:row r="90" ht="42" customHeight="1">
      <x:c r="A90" s="22" t="str">
        <x:v>Ksantan kamed 1kg</x:v>
      </x:c>
      <x:c r="B90" s="22" t="str">
        <x:v>Ksantan kamedi</x:v>
      </x:c>
      <x:c r="C90" s="16" t="str">
        <x:v>kg</x:v>
      </x:c>
      <x:c r="D90" s="24" t="n">
        <x:f>'PDF narxlari'!G66</x:f>
        <x:v>55000</x:v>
      </x:c>
      <x:c r="E90" s="24" t="n">
        <x:f>'PDF narxlari'!H66</x:f>
        <x:v>55000</x:v>
      </x:c>
      <x:c r="F90" s="20" t="n">
        <x:v>0</x:v>
      </x:c>
      <x:c r="G90" s="18" t="n">
        <x:v>0</x:v>
      </x:c>
      <x:c r="H90" s="18" t="n">
        <x:v>0</x:v>
      </x:c>
      <x:c r="I90" s="18" t="n">
        <x:f>ROUND(F90*D90,0)+H90</x:f>
        <x:v>0</x:v>
      </x:c>
      <x:c r="J90" s="18" t="n">
        <x:f>ROUND(F90*E90,0)+H90</x:f>
        <x:v>0</x:v>
      </x:c>
      <x:c r="K90" s="20" t="n">
        <x:v>2</x:v>
      </x:c>
      <x:c r="L90" s="18" t="n">
        <x:v>190000</x:v>
      </x:c>
      <x:c r="M90" s="18" t="n">
        <x:v>0</x:v>
      </x:c>
      <x:c r="N90" s="18" t="n">
        <x:f>ROUND(K90*D90,0)+M90</x:f>
        <x:v>110000</x:v>
      </x:c>
      <x:c r="O90" s="18" t="n">
        <x:f>ROUND(K90*E90,0)+M90</x:f>
        <x:v>110000</x:v>
      </x:c>
      <x:c r="P90" s="22" t="str"/>
      <x:c r="Q90" s="15" t="n">
        <x:v>0</x:v>
      </x:c>
      <x:c r="R90" s="15" t="n">
        <x:v>2</x:v>
      </x:c>
    </x:row>
    <x:row r="91" ht="42" customHeight="1">
      <x:c r="A91" s="21" t="str">
        <x:v>«Победа» 100% Charged с цельным фундуком</x:v>
      </x:c>
      <x:c r="B91" s="21" t="str">
        <x:v>Narx qo‘llanmagan</x:v>
      </x:c>
      <x:c r="C91" s="1" t="str"/>
      <x:c r="D91" s="23"/>
      <x:c r="E91" s="23"/>
      <x:c r="F91" s="19" t="n">
        <x:v>0</x:v>
      </x:c>
      <x:c r="G91" s="17" t="n">
        <x:v>118400</x:v>
      </x:c>
      <x:c r="H91" s="17" t="n">
        <x:v>118400</x:v>
      </x:c>
      <x:c r="I91" s="17" t="n">
        <x:f>G91</x:f>
        <x:v>118400</x:v>
      </x:c>
      <x:c r="J91" s="17" t="n">
        <x:f>G91</x:f>
        <x:v>118400</x:v>
      </x:c>
      <x:c r="K91" s="19" t="n">
        <x:v>0</x:v>
      </x:c>
      <x:c r="L91" s="17" t="n">
        <x:v>182400</x:v>
      </x:c>
      <x:c r="M91" s="17" t="n">
        <x:v>182400</x:v>
      </x:c>
      <x:c r="N91" s="17" t="n">
        <x:f>L91</x:f>
        <x:v>182400</x:v>
      </x:c>
      <x:c r="O91" s="17" t="n">
        <x:f>L91</x:f>
        <x:v>182400</x:v>
      </x:c>
      <x:c r="P91" s="21" t="str">
        <x:v>PDFda shokolad yo'q</x:v>
      </x:c>
      <x:c r="Q91" s="15" t="n">
        <x:v>4</x:v>
      </x:c>
      <x:c r="R91" s="15" t="n">
        <x:v>6</x:v>
      </x:c>
    </x:row>
    <x:row r="92" ht="42" customHeight="1">
      <x:c r="A92" s="22" t="str">
        <x:v>Kokos uni 200gr</x:v>
      </x:c>
      <x:c r="B92" s="22" t="str">
        <x:v>Kokos uni</x:v>
      </x:c>
      <x:c r="C92" s="16" t="str">
        <x:v>kg</x:v>
      </x:c>
      <x:c r="D92" s="24" t="n">
        <x:f>'PDF narxlari'!G18</x:f>
        <x:v>61000</x:v>
      </x:c>
      <x:c r="E92" s="24" t="n">
        <x:f>'PDF narxlari'!H18</x:f>
        <x:v>61000</x:v>
      </x:c>
      <x:c r="F92" s="20" t="n">
        <x:v>1</x:v>
      </x:c>
      <x:c r="G92" s="18" t="n">
        <x:v>108100</x:v>
      </x:c>
      <x:c r="H92" s="18" t="n">
        <x:v>0</x:v>
      </x:c>
      <x:c r="I92" s="18" t="n">
        <x:f>ROUND(F92*D92,0)+H92</x:f>
        <x:v>61000</x:v>
      </x:c>
      <x:c r="J92" s="18" t="n">
        <x:f>ROUND(F92*E92,0)+H92</x:f>
        <x:v>61000</x:v>
      </x:c>
      <x:c r="K92" s="20" t="n">
        <x:v>1.6</x:v>
      </x:c>
      <x:c r="L92" s="18" t="n">
        <x:v>177100</x:v>
      </x:c>
      <x:c r="M92" s="18" t="n">
        <x:v>0</x:v>
      </x:c>
      <x:c r="N92" s="18" t="n">
        <x:f>ROUND(K92*D92,0)+M92</x:f>
        <x:v>97600</x:v>
      </x:c>
      <x:c r="O92" s="18" t="n">
        <x:f>ROUND(K92*E92,0)+M92</x:f>
        <x:v>97600</x:v>
      </x:c>
      <x:c r="P92" s="22" t="str"/>
      <x:c r="Q92" s="15" t="n">
        <x:v>5</x:v>
      </x:c>
      <x:c r="R92" s="15" t="n">
        <x:v>8</x:v>
      </x:c>
    </x:row>
    <x:row r="93" ht="42" customHeight="1">
      <x:c r="A93" s="21" t="str">
        <x:v>Qizil guruch (Devzira) (bo'yalmagan, yog'lanmagan) 500gr</x:v>
      </x:c>
      <x:c r="B93" s="21" t="str">
        <x:v>Devzira guruchi</x:v>
      </x:c>
      <x:c r="C93" s="1" t="str">
        <x:v>kg</x:v>
      </x:c>
      <x:c r="D93" s="23" t="n">
        <x:f>'PDF narxlari'!G28</x:f>
        <x:v>45000</x:v>
      </x:c>
      <x:c r="E93" s="23" t="n">
        <x:f>'PDF narxlari'!H28</x:f>
        <x:v>45000</x:v>
      </x:c>
      <x:c r="F93" s="19" t="n">
        <x:v>2</x:v>
      </x:c>
      <x:c r="G93" s="17" t="n">
        <x:v>117800</x:v>
      </x:c>
      <x:c r="H93" s="17" t="n">
        <x:v>0</x:v>
      </x:c>
      <x:c r="I93" s="17" t="n">
        <x:f>ROUND(F93*D93,0)+H93</x:f>
        <x:v>90000</x:v>
      </x:c>
      <x:c r="J93" s="17" t="n">
        <x:f>ROUND(F93*E93,0)+H93</x:f>
        <x:v>90000</x:v>
      </x:c>
      <x:c r="K93" s="19" t="n">
        <x:v>3</x:v>
      </x:c>
      <x:c r="L93" s="17" t="n">
        <x:v>176700</x:v>
      </x:c>
      <x:c r="M93" s="17" t="n">
        <x:v>0</x:v>
      </x:c>
      <x:c r="N93" s="17" t="n">
        <x:f>ROUND(K93*D93,0)+M93</x:f>
        <x:v>135000</x:v>
      </x:c>
      <x:c r="O93" s="17" t="n">
        <x:f>ROUND(K93*E93,0)+M93</x:f>
        <x:v>135000</x:v>
      </x:c>
      <x:c r="P93" s="21" t="str"/>
      <x:c r="Q93" s="15" t="n">
        <x:v>4</x:v>
      </x:c>
      <x:c r="R93" s="15" t="n">
        <x:v>6</x:v>
      </x:c>
    </x:row>
    <x:row r="94" ht="42" customHeight="1">
      <x:c r="A94" s="22" t="str">
        <x:v>«Победа» 72% Dark горький</x:v>
      </x:c>
      <x:c r="B94" s="22" t="str">
        <x:v>Narx qo‘llanmagan</x:v>
      </x:c>
      <x:c r="C94" s="16" t="str"/>
      <x:c r="D94" s="24"/>
      <x:c r="E94" s="24"/>
      <x:c r="F94" s="20" t="n">
        <x:v>0</x:v>
      </x:c>
      <x:c r="G94" s="18" t="n">
        <x:v>114700</x:v>
      </x:c>
      <x:c r="H94" s="18" t="n">
        <x:v>114700</x:v>
      </x:c>
      <x:c r="I94" s="18" t="n">
        <x:f>G94</x:f>
        <x:v>114700</x:v>
      </x:c>
      <x:c r="J94" s="18" t="n">
        <x:f>G94</x:f>
        <x:v>114700</x:v>
      </x:c>
      <x:c r="K94" s="20" t="n">
        <x:v>0</x:v>
      </x:c>
      <x:c r="L94" s="18" t="n">
        <x:v>176700</x:v>
      </x:c>
      <x:c r="M94" s="18" t="n">
        <x:v>176700</x:v>
      </x:c>
      <x:c r="N94" s="18" t="n">
        <x:f>L94</x:f>
        <x:v>176700</x:v>
      </x:c>
      <x:c r="O94" s="18" t="n">
        <x:f>L94</x:f>
        <x:v>176700</x:v>
      </x:c>
      <x:c r="P94" s="22" t="str">
        <x:v>PDFda shokolad yo'q</x:v>
      </x:c>
      <x:c r="Q94" s="15" t="n">
        <x:v>4</x:v>
      </x:c>
      <x:c r="R94" s="15" t="n">
        <x:v>6</x:v>
      </x:c>
    </x:row>
    <x:row r="95" ht="42" customHeight="1">
      <x:c r="A95" s="21" t="str">
        <x:v>Oq kunjut 1000g</x:v>
      </x:c>
      <x:c r="B95" s="21" t="str">
        <x:v>Oq kunjut</x:v>
      </x:c>
      <x:c r="C95" s="1" t="str">
        <x:v>kg</x:v>
      </x:c>
      <x:c r="D95" s="23" t="n">
        <x:f>'PDF narxlari'!G35</x:f>
        <x:v>28000</x:v>
      </x:c>
      <x:c r="E95" s="23" t="n">
        <x:f>'PDF narxlari'!H35</x:f>
        <x:v>28000</x:v>
      </x:c>
      <x:c r="F95" s="19" t="n">
        <x:v>2</x:v>
      </x:c>
      <x:c r="G95" s="17" t="n">
        <x:v>70000</x:v>
      </x:c>
      <x:c r="H95" s="17" t="n">
        <x:v>0</x:v>
      </x:c>
      <x:c r="I95" s="17" t="n">
        <x:f>ROUND(F95*D95,0)+H95</x:f>
        <x:v>56000</x:v>
      </x:c>
      <x:c r="J95" s="17" t="n">
        <x:f>ROUND(F95*E95,0)+H95</x:f>
        <x:v>56000</x:v>
      </x:c>
      <x:c r="K95" s="19" t="n">
        <x:v>5</x:v>
      </x:c>
      <x:c r="L95" s="17" t="n">
        <x:v>175000</x:v>
      </x:c>
      <x:c r="M95" s="17" t="n">
        <x:v>0</x:v>
      </x:c>
      <x:c r="N95" s="17" t="n">
        <x:f>ROUND(K95*D95,0)+M95</x:f>
        <x:v>140000</x:v>
      </x:c>
      <x:c r="O95" s="17" t="n">
        <x:f>ROUND(K95*E95,0)+M95</x:f>
        <x:v>140000</x:v>
      </x:c>
      <x:c r="P95" s="21" t="str">
        <x:v>B2B birligi dona: qadoq soni deb olindi</x:v>
      </x:c>
      <x:c r="Q95" s="15" t="n">
        <x:v>2</x:v>
      </x:c>
      <x:c r="R95" s="15" t="n">
        <x:v>5</x:v>
      </x:c>
    </x:row>
    <x:row r="96" ht="42" customHeight="1">
      <x:c r="A96" s="22" t="str">
        <x:v>Chia urug'i 300gr</x:v>
      </x:c>
      <x:c r="B96" s="22" t="str">
        <x:v>Chia urug'i</x:v>
      </x:c>
      <x:c r="C96" s="16" t="str">
        <x:v>kg</x:v>
      </x:c>
      <x:c r="D96" s="24" t="n">
        <x:f>'PDF narxlari'!G38</x:f>
        <x:v>57000</x:v>
      </x:c>
      <x:c r="E96" s="24" t="n">
        <x:f>'PDF narxlari'!H38</x:f>
        <x:v>57000</x:v>
      </x:c>
      <x:c r="F96" s="20" t="n">
        <x:v>1.8</x:v>
      </x:c>
      <x:c r="G96" s="18" t="n">
        <x:v>174000</x:v>
      </x:c>
      <x:c r="H96" s="18" t="n">
        <x:v>0</x:v>
      </x:c>
      <x:c r="I96" s="18" t="n">
        <x:f>ROUND(F96*D96,0)+H96</x:f>
        <x:v>102600</x:v>
      </x:c>
      <x:c r="J96" s="18" t="n">
        <x:f>ROUND(F96*E96,0)+H96</x:f>
        <x:v>102600</x:v>
      </x:c>
      <x:c r="K96" s="20" t="n">
        <x:v>1.8</x:v>
      </x:c>
      <x:c r="L96" s="18" t="n">
        <x:v>174000</x:v>
      </x:c>
      <x:c r="M96" s="18" t="n">
        <x:v>0</x:v>
      </x:c>
      <x:c r="N96" s="18" t="n">
        <x:f>ROUND(K96*D96,0)+M96</x:f>
        <x:v>102600</x:v>
      </x:c>
      <x:c r="O96" s="18" t="n">
        <x:f>ROUND(K96*E96,0)+M96</x:f>
        <x:v>102600</x:v>
      </x:c>
      <x:c r="P96" s="22" t="str"/>
      <x:c r="Q96" s="15" t="n">
        <x:v>6</x:v>
      </x:c>
      <x:c r="R96" s="15" t="n">
        <x:v>6</x:v>
      </x:c>
    </x:row>
    <x:row r="97" ht="42" customHeight="1">
      <x:c r="A97" s="21" t="str">
        <x:v>Rastaropsha uni 500gr</x:v>
      </x:c>
      <x:c r="B97" s="21" t="str">
        <x:v>Rastaropsha uni</x:v>
      </x:c>
      <x:c r="C97" s="1" t="str">
        <x:v>kg</x:v>
      </x:c>
      <x:c r="D97" s="23" t="n">
        <x:f>'PDF narxlari'!G19</x:f>
        <x:v>32000</x:v>
      </x:c>
      <x:c r="E97" s="23" t="n">
        <x:f>'PDF narxlari'!H19</x:f>
        <x:v>32000</x:v>
      </x:c>
      <x:c r="F97" s="19" t="n">
        <x:v>1.5</x:v>
      </x:c>
      <x:c r="G97" s="17" t="n">
        <x:v>99000</x:v>
      </x:c>
      <x:c r="H97" s="17" t="n">
        <x:v>0</x:v>
      </x:c>
      <x:c r="I97" s="17" t="n">
        <x:f>ROUND(F97*D97,0)+H97</x:f>
        <x:v>48000</x:v>
      </x:c>
      <x:c r="J97" s="17" t="n">
        <x:f>ROUND(F97*E97,0)+H97</x:f>
        <x:v>48000</x:v>
      </x:c>
      <x:c r="K97" s="19" t="n">
        <x:v>2.5</x:v>
      </x:c>
      <x:c r="L97" s="17" t="n">
        <x:v>161700</x:v>
      </x:c>
      <x:c r="M97" s="17" t="n">
        <x:v>0</x:v>
      </x:c>
      <x:c r="N97" s="17" t="n">
        <x:f>ROUND(K97*D97,0)+M97</x:f>
        <x:v>80000</x:v>
      </x:c>
      <x:c r="O97" s="17" t="n">
        <x:f>ROUND(K97*E97,0)+M97</x:f>
        <x:v>80000</x:v>
      </x:c>
      <x:c r="P97" s="21" t="str"/>
      <x:c r="Q97" s="15" t="n">
        <x:v>3</x:v>
      </x:c>
      <x:c r="R97" s="15" t="n">
        <x:v>5</x:v>
      </x:c>
    </x:row>
    <x:row r="98" ht="42" customHeight="1">
      <x:c r="A98" s="22" t="str">
        <x:v>Шоколад Победа 57%</x:v>
      </x:c>
      <x:c r="B98" s="22" t="str">
        <x:v>Narx qo‘llanmagan</x:v>
      </x:c>
      <x:c r="C98" s="16" t="str"/>
      <x:c r="D98" s="24"/>
      <x:c r="E98" s="24"/>
      <x:c r="F98" s="20" t="n">
        <x:v>0</x:v>
      </x:c>
      <x:c r="G98" s="18" t="n">
        <x:v>89900</x:v>
      </x:c>
      <x:c r="H98" s="18" t="n">
        <x:v>89900</x:v>
      </x:c>
      <x:c r="I98" s="18" t="n">
        <x:f>G98</x:f>
        <x:v>89900</x:v>
      </x:c>
      <x:c r="J98" s="18" t="n">
        <x:f>G98</x:f>
        <x:v>89900</x:v>
      </x:c>
      <x:c r="K98" s="20" t="n">
        <x:v>0</x:v>
      </x:c>
      <x:c r="L98" s="18" t="n">
        <x:v>151900</x:v>
      </x:c>
      <x:c r="M98" s="18" t="n">
        <x:v>151900</x:v>
      </x:c>
      <x:c r="N98" s="18" t="n">
        <x:f>L98</x:f>
        <x:v>151900</x:v>
      </x:c>
      <x:c r="O98" s="18" t="n">
        <x:f>L98</x:f>
        <x:v>151900</x:v>
      </x:c>
      <x:c r="P98" s="22" t="str">
        <x:v>PDFda shokolad yo'q</x:v>
      </x:c>
      <x:c r="Q98" s="15" t="n">
        <x:v>3</x:v>
      </x:c>
      <x:c r="R98" s="15" t="n">
        <x:v>5</x:v>
      </x:c>
    </x:row>
    <x:row r="99" ht="42" customHeight="1">
      <x:c r="A99" s="21" t="str">
        <x:v>Qora kunjut 1000g</x:v>
      </x:c>
      <x:c r="B99" s="21" t="str">
        <x:v>Qora kunjut</x:v>
      </x:c>
      <x:c r="C99" s="1" t="str">
        <x:v>kg</x:v>
      </x:c>
      <x:c r="D99" s="23" t="n">
        <x:f>'PDF narxlari'!G36</x:f>
        <x:v>27000</x:v>
      </x:c>
      <x:c r="E99" s="23" t="n">
        <x:f>'PDF narxlari'!H36</x:f>
        <x:v>27000</x:v>
      </x:c>
      <x:c r="F99" s="19" t="n">
        <x:v>2</x:v>
      </x:c>
      <x:c r="G99" s="17" t="n">
        <x:v>60000</x:v>
      </x:c>
      <x:c r="H99" s="17" t="n">
        <x:v>0</x:v>
      </x:c>
      <x:c r="I99" s="17" t="n">
        <x:f>ROUND(F99*D99,0)+H99</x:f>
        <x:v>54000</x:v>
      </x:c>
      <x:c r="J99" s="17" t="n">
        <x:f>ROUND(F99*E99,0)+H99</x:f>
        <x:v>54000</x:v>
      </x:c>
      <x:c r="K99" s="19" t="n">
        <x:v>5</x:v>
      </x:c>
      <x:c r="L99" s="17" t="n">
        <x:v>150000</x:v>
      </x:c>
      <x:c r="M99" s="17" t="n">
        <x:v>0</x:v>
      </x:c>
      <x:c r="N99" s="17" t="n">
        <x:f>ROUND(K99*D99,0)+M99</x:f>
        <x:v>135000</x:v>
      </x:c>
      <x:c r="O99" s="17" t="n">
        <x:f>ROUND(K99*E99,0)+M99</x:f>
        <x:v>135000</x:v>
      </x:c>
      <x:c r="P99" s="21" t="str"/>
      <x:c r="Q99" s="15" t="n">
        <x:v>2</x:v>
      </x:c>
      <x:c r="R99" s="15" t="n">
        <x:v>5</x:v>
      </x:c>
    </x:row>
    <x:row r="100" ht="42" customHeight="1">
      <x:c r="A100" s="22" t="str">
        <x:v>Chia urugʻi 1000g</x:v>
      </x:c>
      <x:c r="B100" s="22" t="str">
        <x:v>Chia urug'i</x:v>
      </x:c>
      <x:c r="C100" s="16" t="str">
        <x:v>kg</x:v>
      </x:c>
      <x:c r="D100" s="24" t="n">
        <x:f>'PDF narxlari'!G38</x:f>
        <x:v>57000</x:v>
      </x:c>
      <x:c r="E100" s="24" t="n">
        <x:f>'PDF narxlari'!H38</x:f>
        <x:v>57000</x:v>
      </x:c>
      <x:c r="F100" s="20" t="n">
        <x:v>2</x:v>
      </x:c>
      <x:c r="G100" s="18" t="n">
        <x:v>140000</x:v>
      </x:c>
      <x:c r="H100" s="18" t="n">
        <x:v>0</x:v>
      </x:c>
      <x:c r="I100" s="18" t="n">
        <x:f>ROUND(F100*D100,0)+H100</x:f>
        <x:v>114000</x:v>
      </x:c>
      <x:c r="J100" s="18" t="n">
        <x:f>ROUND(F100*E100,0)+H100</x:f>
        <x:v>114000</x:v>
      </x:c>
      <x:c r="K100" s="20" t="n">
        <x:v>2</x:v>
      </x:c>
      <x:c r="L100" s="18" t="n">
        <x:v>140000</x:v>
      </x:c>
      <x:c r="M100" s="18" t="n">
        <x:v>0</x:v>
      </x:c>
      <x:c r="N100" s="18" t="n">
        <x:f>ROUND(K100*D100,0)+M100</x:f>
        <x:v>114000</x:v>
      </x:c>
      <x:c r="O100" s="18" t="n">
        <x:f>ROUND(K100*E100,0)+M100</x:f>
        <x:v>114000</x:v>
      </x:c>
      <x:c r="P100" s="22" t="str"/>
      <x:c r="Q100" s="15" t="n">
        <x:v>2</x:v>
      </x:c>
      <x:c r="R100" s="15" t="n">
        <x:v>2</x:v>
      </x:c>
    </x:row>
    <x:row r="101" ht="42" customHeight="1">
      <x:c r="A101" s="21" t="str">
        <x:v>Himalay tuz 500gr</x:v>
      </x:c>
      <x:c r="B101" s="21" t="str">
        <x:v>Gimalay tuzi</x:v>
      </x:c>
      <x:c r="C101" s="1" t="str">
        <x:v>kg</x:v>
      </x:c>
      <x:c r="D101" s="23" t="n">
        <x:f>'PDF narxlari'!G68</x:f>
        <x:v>20000</x:v>
      </x:c>
      <x:c r="E101" s="23" t="n">
        <x:f>'PDF narxlari'!H68</x:f>
        <x:v>20000</x:v>
      </x:c>
      <x:c r="F101" s="19" t="n">
        <x:v>2</x:v>
      </x:c>
      <x:c r="G101" s="17" t="n">
        <x:v>68000</x:v>
      </x:c>
      <x:c r="H101" s="17" t="n">
        <x:v>0</x:v>
      </x:c>
      <x:c r="I101" s="17" t="n">
        <x:f>ROUND(F101*D101,0)+H101</x:f>
        <x:v>40000</x:v>
      </x:c>
      <x:c r="J101" s="17" t="n">
        <x:f>ROUND(F101*E101,0)+H101</x:f>
        <x:v>40000</x:v>
      </x:c>
      <x:c r="K101" s="19" t="n">
        <x:v>4</x:v>
      </x:c>
      <x:c r="L101" s="17" t="n">
        <x:v>136000</x:v>
      </x:c>
      <x:c r="M101" s="17" t="n">
        <x:v>0</x:v>
      </x:c>
      <x:c r="N101" s="17" t="n">
        <x:f>ROUND(K101*D101,0)+M101</x:f>
        <x:v>80000</x:v>
      </x:c>
      <x:c r="O101" s="17" t="n">
        <x:f>ROUND(K101*E101,0)+M101</x:f>
        <x:v>80000</x:v>
      </x:c>
      <x:c r="P101" s="21" t="str"/>
      <x:c r="Q101" s="15" t="n">
        <x:v>4</x:v>
      </x:c>
      <x:c r="R101" s="15" t="n">
        <x:v>8</x:v>
      </x:c>
    </x:row>
    <x:row r="102" ht="42" customHeight="1">
      <x:c r="A102" s="22" t="str">
        <x:v>Bodom uni po‘stlog‘i billan</x:v>
      </x:c>
      <x:c r="B102" s="22" t="str">
        <x:v>Narx qo‘llanmagan</x:v>
      </x:c>
      <x:c r="C102" s="16" t="str"/>
      <x:c r="D102" s="24"/>
      <x:c r="E102" s="24"/>
      <x:c r="F102" s="20" t="n">
        <x:v>0</x:v>
      </x:c>
      <x:c r="G102" s="18" t="n">
        <x:v>135000</x:v>
      </x:c>
      <x:c r="H102" s="18" t="n">
        <x:v>135000</x:v>
      </x:c>
      <x:c r="I102" s="18" t="n">
        <x:f>G102</x:f>
        <x:v>135000</x:v>
      </x:c>
      <x:c r="J102" s="18" t="n">
        <x:f>G102</x:f>
        <x:v>135000</x:v>
      </x:c>
      <x:c r="K102" s="20" t="n">
        <x:v>0</x:v>
      </x:c>
      <x:c r="L102" s="18" t="n">
        <x:v>135000</x:v>
      </x:c>
      <x:c r="M102" s="18" t="n">
        <x:v>135000</x:v>
      </x:c>
      <x:c r="N102" s="18" t="n">
        <x:f>L102</x:f>
        <x:v>135000</x:v>
      </x:c>
      <x:c r="O102" s="18" t="n">
        <x:f>L102</x:f>
        <x:v>135000</x:v>
      </x:c>
      <x:c r="P102" s="22" t="str">
        <x:v>Po'stloqli bodom uni alohida ko'rsatilmagan</x:v>
      </x:c>
      <x:c r="Q102" s="15" t="n">
        <x:v>1</x:v>
      </x:c>
      <x:c r="R102" s="15" t="n">
        <x:v>1</x:v>
      </x:c>
    </x:row>
    <x:row r="103" ht="42" customHeight="1">
      <x:c r="A103" s="21" t="str">
        <x:v>Oq kunjut 300gr</x:v>
      </x:c>
      <x:c r="B103" s="21" t="str">
        <x:v>Oq kunjut</x:v>
      </x:c>
      <x:c r="C103" s="1" t="str">
        <x:v>kg</x:v>
      </x:c>
      <x:c r="D103" s="23" t="n">
        <x:f>'PDF narxlari'!G35</x:f>
        <x:v>28000</x:v>
      </x:c>
      <x:c r="E103" s="23" t="n">
        <x:f>'PDF narxlari'!H35</x:f>
        <x:v>28000</x:v>
      </x:c>
      <x:c r="F103" s="19" t="n">
        <x:v>0.9</x:v>
      </x:c>
      <x:c r="G103" s="17" t="n">
        <x:v>54000</x:v>
      </x:c>
      <x:c r="H103" s="17" t="n">
        <x:v>0</x:v>
      </x:c>
      <x:c r="I103" s="17" t="n">
        <x:f>ROUND(F103*D103,0)+H103</x:f>
        <x:v>25200</x:v>
      </x:c>
      <x:c r="J103" s="17" t="n">
        <x:f>ROUND(F103*E103,0)+H103</x:f>
        <x:v>25200</x:v>
      </x:c>
      <x:c r="K103" s="19" t="n">
        <x:v>2.1</x:v>
      </x:c>
      <x:c r="L103" s="17" t="n">
        <x:v>126000</x:v>
      </x:c>
      <x:c r="M103" s="17" t="n">
        <x:v>0</x:v>
      </x:c>
      <x:c r="N103" s="17" t="n">
        <x:f>ROUND(K103*D103,0)+M103</x:f>
        <x:v>58800</x:v>
      </x:c>
      <x:c r="O103" s="17" t="n">
        <x:f>ROUND(K103*E103,0)+M103</x:f>
        <x:v>58800</x:v>
      </x:c>
      <x:c r="P103" s="21" t="str"/>
      <x:c r="Q103" s="15" t="n">
        <x:v>3</x:v>
      </x:c>
      <x:c r="R103" s="15" t="n">
        <x:v>7</x:v>
      </x:c>
    </x:row>
    <x:row r="104" ht="42" customHeight="1">
      <x:c r="A104" s="22" t="str">
        <x:v>Grechka uni 400g «Кудесница»</x:v>
      </x:c>
      <x:c r="B104" s="22" t="str">
        <x:v>Grechka uni</x:v>
      </x:c>
      <x:c r="C104" s="16" t="str">
        <x:v>kg</x:v>
      </x:c>
      <x:c r="D104" s="24" t="n">
        <x:f>'PDF narxlari'!G14</x:f>
        <x:v>13000</x:v>
      </x:c>
      <x:c r="E104" s="24" t="n">
        <x:f>'PDF narxlari'!H14</x:f>
        <x:v>13000</x:v>
      </x:c>
      <x:c r="F104" s="20" t="n">
        <x:v>0.8</x:v>
      </x:c>
      <x:c r="G104" s="18" t="n">
        <x:v>46800</x:v>
      </x:c>
      <x:c r="H104" s="18" t="n">
        <x:v>0</x:v>
      </x:c>
      <x:c r="I104" s="18" t="n">
        <x:f>ROUND(F104*D104,0)+H104</x:f>
        <x:v>10400</x:v>
      </x:c>
      <x:c r="J104" s="18" t="n">
        <x:f>ROUND(F104*E104,0)+H104</x:f>
        <x:v>10400</x:v>
      </x:c>
      <x:c r="K104" s="20" t="n">
        <x:v>2</x:v>
      </x:c>
      <x:c r="L104" s="18" t="n">
        <x:v>119600</x:v>
      </x:c>
      <x:c r="M104" s="18" t="n">
        <x:v>0</x:v>
      </x:c>
      <x:c r="N104" s="18" t="n">
        <x:f>ROUND(K104*D104,0)+M104</x:f>
        <x:v>26000</x:v>
      </x:c>
      <x:c r="O104" s="18" t="n">
        <x:f>ROUND(K104*E104,0)+M104</x:f>
        <x:v>26000</x:v>
      </x:c>
      <x:c r="P104" s="22" t="str">
        <x:v>114: brendli un o'rniga shu turdagi xomashyo narxi.</x:v>
      </x:c>
      <x:c r="Q104" s="15" t="n">
        <x:v>2</x:v>
      </x:c>
      <x:c r="R104" s="15" t="n">
        <x:v>5</x:v>
      </x:c>
    </x:row>
    <x:row r="105" ht="42" customHeight="1">
      <x:c r="A105" s="21" t="str">
        <x:v>Zakvaska</x:v>
      </x:c>
      <x:c r="B105" s="21" t="str">
        <x:v>Narx qo‘llanmagan</x:v>
      </x:c>
      <x:c r="C105" s="1" t="str"/>
      <x:c r="D105" s="23"/>
      <x:c r="E105" s="23"/>
      <x:c r="F105" s="19" t="n">
        <x:v>0</x:v>
      </x:c>
      <x:c r="G105" s="17" t="n">
        <x:v>109200</x:v>
      </x:c>
      <x:c r="H105" s="17" t="n">
        <x:v>109200</x:v>
      </x:c>
      <x:c r="I105" s="17" t="n">
        <x:f>G105</x:f>
        <x:v>109200</x:v>
      </x:c>
      <x:c r="J105" s="17" t="n">
        <x:f>G105</x:f>
        <x:v>109200</x:v>
      </x:c>
      <x:c r="K105" s="19" t="n">
        <x:v>0</x:v>
      </x:c>
      <x:c r="L105" s="17" t="n">
        <x:v>109200</x:v>
      </x:c>
      <x:c r="M105" s="17" t="n">
        <x:v>109200</x:v>
      </x:c>
      <x:c r="N105" s="17" t="n">
        <x:f>L105</x:f>
        <x:v>109200</x:v>
      </x:c>
      <x:c r="O105" s="17" t="n">
        <x:f>L105</x:f>
        <x:v>109200</x:v>
      </x:c>
      <x:c r="P105" s="21" t="str">
        <x:v>Tabiiy zakvaska; PDF ruschasida quruq xamirturush</x:v>
      </x:c>
      <x:c r="Q105" s="15" t="n">
        <x:v>3</x:v>
      </x:c>
      <x:c r="R105" s="15" t="n">
        <x:v>3</x:v>
      </x:c>
    </x:row>
    <x:row r="106" ht="42" customHeight="1">
      <x:c r="A106" s="22" t="str">
        <x:v>Zig'ir uni 500gr</x:v>
      </x:c>
      <x:c r="B106" s="22" t="str">
        <x:v>Zig'ir uni</x:v>
      </x:c>
      <x:c r="C106" s="16" t="str">
        <x:v>kg</x:v>
      </x:c>
      <x:c r="D106" s="24" t="n">
        <x:f>'PDF narxlari'!G20</x:f>
        <x:v>26000</x:v>
      </x:c>
      <x:c r="E106" s="24" t="n">
        <x:f>'PDF narxlari'!H20</x:f>
        <x:v>26000</x:v>
      </x:c>
      <x:c r="F106" s="20" t="n">
        <x:v>1</x:v>
      </x:c>
      <x:c r="G106" s="18" t="n">
        <x:v>39900</x:v>
      </x:c>
      <x:c r="H106" s="18" t="n">
        <x:v>0</x:v>
      </x:c>
      <x:c r="I106" s="18" t="n">
        <x:f>ROUND(F106*D106,0)+H106</x:f>
        <x:v>26000</x:v>
      </x:c>
      <x:c r="J106" s="18" t="n">
        <x:f>ROUND(F106*E106,0)+H106</x:f>
        <x:v>26000</x:v>
      </x:c>
      <x:c r="K106" s="20" t="n">
        <x:v>2.5</x:v>
      </x:c>
      <x:c r="L106" s="18" t="n">
        <x:v>102900</x:v>
      </x:c>
      <x:c r="M106" s="18" t="n">
        <x:v>0</x:v>
      </x:c>
      <x:c r="N106" s="18" t="n">
        <x:f>ROUND(K106*D106,0)+M106</x:f>
        <x:v>65000</x:v>
      </x:c>
      <x:c r="O106" s="18" t="n">
        <x:f>ROUND(K106*E106,0)+M106</x:f>
        <x:v>65000</x:v>
      </x:c>
      <x:c r="P106" s="22" t="str">
        <x:v>117: brendli un o'rniga shu turdagi xomashyo narxi.</x:v>
      </x:c>
      <x:c r="Q106" s="15" t="n">
        <x:v>2</x:v>
      </x:c>
      <x:c r="R106" s="15" t="n">
        <x:v>5</x:v>
      </x:c>
    </x:row>
    <x:row r="107" ht="42" customHeight="1">
      <x:c r="A107" s="21" t="str">
        <x:v>Zig'ir urug'lari 600gr</x:v>
      </x:c>
      <x:c r="B107" s="21" t="str">
        <x:v>Zig'ir urug'i</x:v>
      </x:c>
      <x:c r="C107" s="1" t="str">
        <x:v>kg</x:v>
      </x:c>
      <x:c r="D107" s="23" t="n">
        <x:f>'PDF narxlari'!G37</x:f>
        <x:v>17000</x:v>
      </x:c>
      <x:c r="E107" s="23" t="n">
        <x:f>'PDF narxlari'!H37</x:f>
        <x:v>17000</x:v>
      </x:c>
      <x:c r="F107" s="19" t="n">
        <x:v>1.32</x:v>
      </x:c>
      <x:c r="G107" s="17" t="n">
        <x:v>35640</x:v>
      </x:c>
      <x:c r="H107" s="17" t="n">
        <x:v>0</x:v>
      </x:c>
      <x:c r="I107" s="17" t="n">
        <x:f>ROUND(F107*D107,0)+H107</x:f>
        <x:v>22440</x:v>
      </x:c>
      <x:c r="J107" s="17" t="n">
        <x:f>ROUND(F107*E107,0)+H107</x:f>
        <x:v>22440</x:v>
      </x:c>
      <x:c r="K107" s="19" t="n">
        <x:v>3.72</x:v>
      </x:c>
      <x:c r="L107" s="17" t="n">
        <x:v>102240</x:v>
      </x:c>
      <x:c r="M107" s="17" t="n">
        <x:v>0</x:v>
      </x:c>
      <x:c r="N107" s="17" t="n">
        <x:f>ROUND(K107*D107,0)+M107</x:f>
        <x:v>63240</x:v>
      </x:c>
      <x:c r="O107" s="17" t="n">
        <x:f>ROUND(K107*E107,0)+M107</x:f>
        <x:v>63240</x:v>
      </x:c>
      <x:c r="P107" s="21" t="str">
        <x:v>Kasr miqdor qadoq ulushi sifatida olindi (statistikadagi yozuv bo‘yicha)</x:v>
      </x:c>
      <x:c r="Q107" s="15" t="n">
        <x:v>2.2</x:v>
      </x:c>
      <x:c r="R107" s="15" t="n">
        <x:v>6.2</x:v>
      </x:c>
    </x:row>
    <x:row r="108" ht="42" customHeight="1">
      <x:c r="A108" s="22" t="str">
        <x:v>Alluloza +Steviya 200gr</x:v>
      </x:c>
      <x:c r="B108" s="22" t="str">
        <x:v>Narx qo‘llanmagan</x:v>
      </x:c>
      <x:c r="C108" s="16" t="str"/>
      <x:c r="D108" s="24"/>
      <x:c r="E108" s="24"/>
      <x:c r="F108" s="20" t="n">
        <x:v>0</x:v>
      </x:c>
      <x:c r="G108" s="18" t="n">
        <x:v>0</x:v>
      </x:c>
      <x:c r="H108" s="18" t="n">
        <x:v>0</x:v>
      </x:c>
      <x:c r="I108" s="18" t="n">
        <x:f>G108</x:f>
        <x:v>0</x:v>
      </x:c>
      <x:c r="J108" s="18" t="n">
        <x:f>G108</x:f>
        <x:v>0</x:v>
      </x:c>
      <x:c r="K108" s="20" t="n">
        <x:v>0</x:v>
      </x:c>
      <x:c r="L108" s="18" t="n">
        <x:v>100000</x:v>
      </x:c>
      <x:c r="M108" s="18" t="n">
        <x:v>100000</x:v>
      </x:c>
      <x:c r="N108" s="18" t="n">
        <x:f>L108</x:f>
        <x:v>100000</x:v>
      </x:c>
      <x:c r="O108" s="18" t="n">
        <x:f>L108</x:f>
        <x:v>100000</x:v>
      </x:c>
      <x:c r="P108" s="22" t="str">
        <x:v>Alluloza+Stevia aralashmasining nisbati noma'lum</x:v>
      </x:c>
      <x:c r="Q108" s="15" t="n">
        <x:v>0</x:v>
      </x:c>
      <x:c r="R108" s="15" t="n">
        <x:v>1</x:v>
      </x:c>
    </x:row>
    <x:row r="109" ht="42" customHeight="1">
      <x:c r="A109" s="21" t="str">
        <x:v>Oq Solod 500g</x:v>
      </x:c>
      <x:c r="B109" s="21" t="str">
        <x:v>Solod</x:v>
      </x:c>
      <x:c r="C109" s="1" t="str">
        <x:v>kg</x:v>
      </x:c>
      <x:c r="D109" s="23" t="n">
        <x:f>'PDF narxlari'!G65</x:f>
        <x:v>12000</x:v>
      </x:c>
      <x:c r="E109" s="23" t="n">
        <x:f>'PDF narxlari'!H65</x:f>
        <x:v>12000</x:v>
      </x:c>
      <x:c r="F109" s="19" t="n">
        <x:v>1</x:v>
      </x:c>
      <x:c r="G109" s="17" t="n">
        <x:v>50000</x:v>
      </x:c>
      <x:c r="H109" s="17" t="n">
        <x:v>0</x:v>
      </x:c>
      <x:c r="I109" s="17" t="n">
        <x:f>ROUND(F109*D109,0)+H109</x:f>
        <x:v>12000</x:v>
      </x:c>
      <x:c r="J109" s="17" t="n">
        <x:f>ROUND(F109*E109,0)+H109</x:f>
        <x:v>12000</x:v>
      </x:c>
      <x:c r="K109" s="19" t="n">
        <x:v>2</x:v>
      </x:c>
      <x:c r="L109" s="17" t="n">
        <x:v>97500</x:v>
      </x:c>
      <x:c r="M109" s="17" t="n">
        <x:v>0</x:v>
      </x:c>
      <x:c r="N109" s="17" t="n">
        <x:f>ROUND(K109*D109,0)+M109</x:f>
        <x:v>24000</x:v>
      </x:c>
      <x:c r="O109" s="17" t="n">
        <x:f>ROUND(K109*E109,0)+M109</x:f>
        <x:v>24000</x:v>
      </x:c>
      <x:c r="P109" s="21" t="str">
        <x:v>PDFda solod turi ajratilmagan; oq/qora uchun umumiy solod narxi.</x:v>
      </x:c>
      <x:c r="Q109" s="15" t="n">
        <x:v>2</x:v>
      </x:c>
      <x:c r="R109" s="15" t="n">
        <x:v>4</x:v>
      </x:c>
    </x:row>
    <x:row r="110" ht="42" customHeight="1">
      <x:c r="A110" s="22" t="str">
        <x:v>Eritritol 100gr</x:v>
      </x:c>
      <x:c r="B110" s="22" t="str">
        <x:v>Eritritol</x:v>
      </x:c>
      <x:c r="C110" s="16" t="str">
        <x:v>kg</x:v>
      </x:c>
      <x:c r="D110" s="24" t="n">
        <x:f>'PDF narxlari'!G52</x:f>
        <x:v>75000</x:v>
      </x:c>
      <x:c r="E110" s="24" t="n">
        <x:f>'PDF narxlari'!H52</x:f>
        <x:v>75000</x:v>
      </x:c>
      <x:c r="F110" s="20" t="n">
        <x:v>0.6</x:v>
      </x:c>
      <x:c r="G110" s="18" t="n">
        <x:v>80500</x:v>
      </x:c>
      <x:c r="H110" s="18" t="n">
        <x:v>0</x:v>
      </x:c>
      <x:c r="I110" s="18" t="n">
        <x:f>ROUND(F110*D110,0)+H110</x:f>
        <x:v>45000</x:v>
      </x:c>
      <x:c r="J110" s="18" t="n">
        <x:f>ROUND(F110*E110,0)+H110</x:f>
        <x:v>45000</x:v>
      </x:c>
      <x:c r="K110" s="20" t="n">
        <x:v>0.7</x:v>
      </x:c>
      <x:c r="L110" s="18" t="n">
        <x:v>95500</x:v>
      </x:c>
      <x:c r="M110" s="18" t="n">
        <x:v>0</x:v>
      </x:c>
      <x:c r="N110" s="18" t="n">
        <x:f>ROUND(K110*D110,0)+M110</x:f>
        <x:v>52500</x:v>
      </x:c>
      <x:c r="O110" s="18" t="n">
        <x:f>ROUND(K110*E110,0)+M110</x:f>
        <x:v>52500</x:v>
      </x:c>
      <x:c r="P110" s="22" t="str"/>
      <x:c r="Q110" s="15" t="n">
        <x:v>6</x:v>
      </x:c>
      <x:c r="R110" s="15" t="n">
        <x:v>7</x:v>
      </x:c>
    </x:row>
    <x:row r="111" ht="42" customHeight="1">
      <x:c r="A111" s="21" t="str">
        <x:v>Olma sirkasi (Toshkent) 250gr</x:v>
      </x:c>
      <x:c r="B111" s="21" t="str">
        <x:v>Narx qo‘llanmagan</x:v>
      </x:c>
      <x:c r="C111" s="1" t="str"/>
      <x:c r="D111" s="23"/>
      <x:c r="E111" s="23"/>
      <x:c r="F111" s="19" t="n">
        <x:v>0</x:v>
      </x:c>
      <x:c r="G111" s="17" t="n">
        <x:v>45000</x:v>
      </x:c>
      <x:c r="H111" s="17" t="n">
        <x:v>45000</x:v>
      </x:c>
      <x:c r="I111" s="17" t="n">
        <x:f>G111</x:f>
        <x:v>45000</x:v>
      </x:c>
      <x:c r="J111" s="17" t="n">
        <x:f>G111</x:f>
        <x:v>45000</x:v>
      </x:c>
      <x:c r="K111" s="19" t="n">
        <x:v>0</x:v>
      </x:c>
      <x:c r="L111" s="17" t="n">
        <x:v>95000</x:v>
      </x:c>
      <x:c r="M111" s="17" t="n">
        <x:v>95000</x:v>
      </x:c>
      <x:c r="N111" s="17" t="n">
        <x:f>L111</x:f>
        <x:v>95000</x:v>
      </x:c>
      <x:c r="O111" s="17" t="n">
        <x:f>L111</x:f>
        <x:v>95000</x:v>
      </x:c>
      <x:c r="P111" s="21" t="str">
        <x:v>Qadoq 250 g, PDFda 250 ml; hajm-og'irlik mosligi tasdiqlanmagan</x:v>
      </x:c>
      <x:c r="Q111" s="15" t="n">
        <x:v>2</x:v>
      </x:c>
      <x:c r="R111" s="15" t="n">
        <x:v>4</x:v>
      </x:c>
    </x:row>
    <x:row r="112" ht="42" customHeight="1">
      <x:c r="A112" s="22" t="str">
        <x:v>Zig'ir uni 400g «Кудесница»</x:v>
      </x:c>
      <x:c r="B112" s="22" t="str">
        <x:v>Zig'ir uni</x:v>
      </x:c>
      <x:c r="C112" s="16" t="str">
        <x:v>kg</x:v>
      </x:c>
      <x:c r="D112" s="24" t="n">
        <x:f>'PDF narxlari'!G20</x:f>
        <x:v>26000</x:v>
      </x:c>
      <x:c r="E112" s="24" t="n">
        <x:f>'PDF narxlari'!H20</x:f>
        <x:v>26000</x:v>
      </x:c>
      <x:c r="F112" s="20" t="n">
        <x:v>1.2</x:v>
      </x:c>
      <x:c r="G112" s="18" t="n">
        <x:v>51300</x:v>
      </x:c>
      <x:c r="H112" s="18" t="n">
        <x:v>0</x:v>
      </x:c>
      <x:c r="I112" s="18" t="n">
        <x:f>ROUND(F112*D112,0)+H112</x:f>
        <x:v>31200</x:v>
      </x:c>
      <x:c r="J112" s="18" t="n">
        <x:f>ROUND(F112*E112,0)+H112</x:f>
        <x:v>31200</x:v>
      </x:c>
      <x:c r="K112" s="20" t="n">
        <x:v>2</x:v>
      </x:c>
      <x:c r="L112" s="18" t="n">
        <x:v>85500</x:v>
      </x:c>
      <x:c r="M112" s="18" t="n">
        <x:v>0</x:v>
      </x:c>
      <x:c r="N112" s="18" t="n">
        <x:f>ROUND(K112*D112,0)+M112</x:f>
        <x:v>52000</x:v>
      </x:c>
      <x:c r="O112" s="18" t="n">
        <x:f>ROUND(K112*E112,0)+M112</x:f>
        <x:v>52000</x:v>
      </x:c>
      <x:c r="P112" s="22" t="str">
        <x:v>117: brendli un o'rniga shu turdagi xomashyo narxi.</x:v>
      </x:c>
      <x:c r="Q112" s="15" t="n">
        <x:v>3</x:v>
      </x:c>
      <x:c r="R112" s="15" t="n">
        <x:v>5</x:v>
      </x:c>
    </x:row>
    <x:row r="113" ht="42" customHeight="1">
      <x:c r="A113" s="21" t="str">
        <x:v>zig'ir uru'gi 1 kg</x:v>
      </x:c>
      <x:c r="B113" s="21" t="str">
        <x:v>Zig'ir urug'i</x:v>
      </x:c>
      <x:c r="C113" s="1" t="str">
        <x:v>kg</x:v>
      </x:c>
      <x:c r="D113" s="23" t="n">
        <x:f>'PDF narxlari'!G37</x:f>
        <x:v>17000</x:v>
      </x:c>
      <x:c r="E113" s="23" t="n">
        <x:f>'PDF narxlari'!H37</x:f>
        <x:v>17000</x:v>
      </x:c>
      <x:c r="F113" s="19" t="n">
        <x:v>3</x:v>
      </x:c>
      <x:c r="G113" s="17" t="n">
        <x:v>60000</x:v>
      </x:c>
      <x:c r="H113" s="17" t="n">
        <x:v>0</x:v>
      </x:c>
      <x:c r="I113" s="17" t="n">
        <x:f>ROUND(F113*D113,0)+H113</x:f>
        <x:v>51000</x:v>
      </x:c>
      <x:c r="J113" s="17" t="n">
        <x:f>ROUND(F113*E113,0)+H113</x:f>
        <x:v>51000</x:v>
      </x:c>
      <x:c r="K113" s="19" t="n">
        <x:v>4</x:v>
      </x:c>
      <x:c r="L113" s="17" t="n">
        <x:v>80000</x:v>
      </x:c>
      <x:c r="M113" s="17" t="n">
        <x:v>0</x:v>
      </x:c>
      <x:c r="N113" s="17" t="n">
        <x:f>ROUND(K113*D113,0)+M113</x:f>
        <x:v>68000</x:v>
      </x:c>
      <x:c r="O113" s="17" t="n">
        <x:f>ROUND(K113*E113,0)+M113</x:f>
        <x:v>68000</x:v>
      </x:c>
      <x:c r="P113" s="21" t="str">
        <x:v>B2B birligi dona: qadoq soni deb olindi</x:v>
      </x:c>
      <x:c r="Q113" s="15" t="n">
        <x:v>3</x:v>
      </x:c>
      <x:c r="R113" s="15" t="n">
        <x:v>4</x:v>
      </x:c>
    </x:row>
    <x:row r="114" ht="42" customHeight="1">
      <x:c r="A114" s="22" t="str">
        <x:v>Yashil grechka uni 500gr</x:v>
      </x:c>
      <x:c r="B114" s="22" t="str">
        <x:v>Yashil grechka uni</x:v>
      </x:c>
      <x:c r="C114" s="16" t="str">
        <x:v>kg</x:v>
      </x:c>
      <x:c r="D114" s="24" t="n">
        <x:f>'PDF narxlari'!G25</x:f>
        <x:v>36000</x:v>
      </x:c>
      <x:c r="E114" s="24" t="n">
        <x:f>'PDF narxlari'!H25</x:f>
        <x:v>36000</x:v>
      </x:c>
      <x:c r="F114" s="20" t="n">
        <x:v>0.5</x:v>
      </x:c>
      <x:c r="G114" s="18" t="n">
        <x:v>26100</x:v>
      </x:c>
      <x:c r="H114" s="18" t="n">
        <x:v>0</x:v>
      </x:c>
      <x:c r="I114" s="18" t="n">
        <x:f>ROUND(F114*D114,0)+H114</x:f>
        <x:v>18000</x:v>
      </x:c>
      <x:c r="J114" s="18" t="n">
        <x:f>ROUND(F114*E114,0)+H114</x:f>
        <x:v>18000</x:v>
      </x:c>
      <x:c r="K114" s="20" t="n">
        <x:v>1.5</x:v>
      </x:c>
      <x:c r="L114" s="18" t="n">
        <x:v>78300</x:v>
      </x:c>
      <x:c r="M114" s="18" t="n">
        <x:v>0</x:v>
      </x:c>
      <x:c r="N114" s="18" t="n">
        <x:f>ROUND(K114*D114,0)+M114</x:f>
        <x:v>54000</x:v>
      </x:c>
      <x:c r="O114" s="18" t="n">
        <x:f>ROUND(K114*E114,0)+M114</x:f>
        <x:v>54000</x:v>
      </x:c>
      <x:c r="P114" s="22" t="str"/>
      <x:c r="Q114" s="15" t="n">
        <x:v>1</x:v>
      </x:c>
      <x:c r="R114" s="15" t="n">
        <x:v>3</x:v>
      </x:c>
    </x:row>
    <x:row r="115" ht="42" customHeight="1">
      <x:c r="A115" s="21" t="str">
        <x:v>«Победа» Charged 100% no sugar</x:v>
      </x:c>
      <x:c r="B115" s="21" t="str">
        <x:v>Narx qo‘llanmagan</x:v>
      </x:c>
      <x:c r="C115" s="1" t="str"/>
      <x:c r="D115" s="23"/>
      <x:c r="E115" s="23"/>
      <x:c r="F115" s="19" t="n">
        <x:v>0</x:v>
      </x:c>
      <x:c r="G115" s="17" t="n">
        <x:v>75600</x:v>
      </x:c>
      <x:c r="H115" s="17" t="n">
        <x:v>75600</x:v>
      </x:c>
      <x:c r="I115" s="17" t="n">
        <x:f>G115</x:f>
        <x:v>75600</x:v>
      </x:c>
      <x:c r="J115" s="17" t="n">
        <x:f>G115</x:f>
        <x:v>75600</x:v>
      </x:c>
      <x:c r="K115" s="19" t="n">
        <x:v>0</x:v>
      </x:c>
      <x:c r="L115" s="17" t="n">
        <x:v>75600</x:v>
      </x:c>
      <x:c r="M115" s="17" t="n">
        <x:v>75600</x:v>
      </x:c>
      <x:c r="N115" s="17" t="n">
        <x:f>L115</x:f>
        <x:v>75600</x:v>
      </x:c>
      <x:c r="O115" s="17" t="n">
        <x:f>L115</x:f>
        <x:v>75600</x:v>
      </x:c>
      <x:c r="P115" s="21" t="str">
        <x:v>PDFda shokolad yo'q</x:v>
      </x:c>
      <x:c r="Q115" s="15" t="n">
        <x:v>6</x:v>
      </x:c>
      <x:c r="R115" s="15" t="n">
        <x:v>6</x:v>
      </x:c>
    </x:row>
    <x:row r="116" ht="42" customHeight="1">
      <x:c r="A116" s="22" t="str">
        <x:v>Kepakli un makaroni "Barilla"</x:v>
      </x:c>
      <x:c r="B116" s="22" t="str">
        <x:v>Narx qo‘llanmagan</x:v>
      </x:c>
      <x:c r="C116" s="16" t="str"/>
      <x:c r="D116" s="24"/>
      <x:c r="E116" s="24"/>
      <x:c r="F116" s="20" t="n">
        <x:v>0</x:v>
      </x:c>
      <x:c r="G116" s="18" t="n">
        <x:v>75000</x:v>
      </x:c>
      <x:c r="H116" s="18" t="n">
        <x:v>75000</x:v>
      </x:c>
      <x:c r="I116" s="18" t="n">
        <x:f>G116</x:f>
        <x:v>75000</x:v>
      </x:c>
      <x:c r="J116" s="18" t="n">
        <x:f>G116</x:f>
        <x:v>75000</x:v>
      </x:c>
      <x:c r="K116" s="20" t="n">
        <x:v>0</x:v>
      </x:c>
      <x:c r="L116" s="18" t="n">
        <x:v>75000</x:v>
      </x:c>
      <x:c r="M116" s="18" t="n">
        <x:v>75000</x:v>
      </x:c>
      <x:c r="N116" s="18" t="n">
        <x:f>L116</x:f>
        <x:v>75000</x:v>
      </x:c>
      <x:c r="O116" s="18" t="n">
        <x:f>L116</x:f>
        <x:v>75000</x:v>
      </x:c>
      <x:c r="P116" s="22" t="str">
        <x:v>PDFda tayyor makaron yo'q</x:v>
      </x:c>
      <x:c r="Q116" s="15" t="n">
        <x:v>3</x:v>
      </x:c>
      <x:c r="R116" s="15" t="n">
        <x:v>3</x:v>
      </x:c>
    </x:row>
    <x:row r="117" ht="42" customHeight="1">
      <x:c r="A117" s="21" t="str">
        <x:v>Rastaropsha urug'i 600gr</x:v>
      </x:c>
      <x:c r="B117" s="21" t="str">
        <x:v>Rastaropsha urug‘i</x:v>
      </x:c>
      <x:c r="C117" s="1" t="str">
        <x:v>kg</x:v>
      </x:c>
      <x:c r="D117" s="23" t="n">
        <x:f>'PDF narxlari'!G42</x:f>
        <x:v>40000</x:v>
      </x:c>
      <x:c r="E117" s="23" t="n">
        <x:f>'PDF narxlari'!H42</x:f>
        <x:v>40000</x:v>
      </x:c>
      <x:c r="F117" s="19" t="n">
        <x:v>0.6</x:v>
      </x:c>
      <x:c r="G117" s="17" t="n">
        <x:v>31500</x:v>
      </x:c>
      <x:c r="H117" s="17" t="n">
        <x:v>0</x:v>
      </x:c>
      <x:c r="I117" s="17" t="n">
        <x:f>ROUND(F117*D117,0)+H117</x:f>
        <x:v>24000</x:v>
      </x:c>
      <x:c r="J117" s="17" t="n">
        <x:f>ROUND(F117*E117,0)+H117</x:f>
        <x:v>24000</x:v>
      </x:c>
      <x:c r="K117" s="19" t="n">
        <x:v>1.2</x:v>
      </x:c>
      <x:c r="L117" s="17" t="n">
        <x:v>66500</x:v>
      </x:c>
      <x:c r="M117" s="17" t="n">
        <x:v>0</x:v>
      </x:c>
      <x:c r="N117" s="17" t="n">
        <x:f>ROUND(K117*D117,0)+M117</x:f>
        <x:v>48000</x:v>
      </x:c>
      <x:c r="O117" s="17" t="n">
        <x:f>ROUND(K117*E117,0)+M117</x:f>
        <x:v>48000</x:v>
      </x:c>
      <x:c r="P117" s="21" t="str"/>
      <x:c r="Q117" s="15" t="n">
        <x:v>1</x:v>
      </x:c>
      <x:c r="R117" s="15" t="n">
        <x:v>2</x:v>
      </x:c>
    </x:row>
    <x:row r="118" ht="42" customHeight="1">
      <x:c r="A118" s="22" t="str">
        <x:v>Uy kuvi saryog'i 800gr</x:v>
      </x:c>
      <x:c r="B118" s="22" t="str">
        <x:v>Narx qo‘llanmagan</x:v>
      </x:c>
      <x:c r="C118" s="16" t="str"/>
      <x:c r="D118" s="24"/>
      <x:c r="E118" s="24"/>
      <x:c r="F118" s="20" t="n">
        <x:v>0</x:v>
      </x:c>
      <x:c r="G118" s="18" t="n">
        <x:v>60000</x:v>
      </x:c>
      <x:c r="H118" s="18" t="n">
        <x:v>60000</x:v>
      </x:c>
      <x:c r="I118" s="18" t="n">
        <x:f>G118</x:f>
        <x:v>60000</x:v>
      </x:c>
      <x:c r="J118" s="18" t="n">
        <x:f>G118</x:f>
        <x:v>60000</x:v>
      </x:c>
      <x:c r="K118" s="20" t="n">
        <x:v>0</x:v>
      </x:c>
      <x:c r="L118" s="18" t="n">
        <x:v>60000</x:v>
      </x:c>
      <x:c r="M118" s="18" t="n">
        <x:v>60000</x:v>
      </x:c>
      <x:c r="N118" s="18" t="n">
        <x:f>L118</x:f>
        <x:v>60000</x:v>
      </x:c>
      <x:c r="O118" s="18" t="n">
        <x:f>L118</x:f>
        <x:v>60000</x:v>
      </x:c>
      <x:c r="P118" s="22" t="str">
        <x:v>Oddiy sariyog' Ghee bilan bir xil emas</x:v>
      </x:c>
      <x:c r="Q118" s="15" t="n">
        <x:v>1</x:v>
      </x:c>
      <x:c r="R118" s="15" t="n">
        <x:v>1</x:v>
      </x:c>
    </x:row>
    <x:row r="119" ht="42" customHeight="1">
      <x:c r="A119" s="21" t="str">
        <x:v>Oq zig'ir uni 500gr</x:v>
      </x:c>
      <x:c r="B119" s="21" t="str">
        <x:v>Oq zig'ir uni</x:v>
      </x:c>
      <x:c r="C119" s="1" t="str">
        <x:v>kg</x:v>
      </x:c>
      <x:c r="D119" s="23" t="n">
        <x:f>'PDF narxlari'!G21</x:f>
        <x:v>36000</x:v>
      </x:c>
      <x:c r="E119" s="23" t="n">
        <x:f>'PDF narxlari'!H21</x:f>
        <x:v>36000</x:v>
      </x:c>
      <x:c r="F119" s="19" t="n">
        <x:v>0</x:v>
      </x:c>
      <x:c r="G119" s="17" t="n">
        <x:v>0</x:v>
      </x:c>
      <x:c r="H119" s="17" t="n">
        <x:v>0</x:v>
      </x:c>
      <x:c r="I119" s="17" t="n">
        <x:f>ROUND(F119*D119,0)+H119</x:f>
        <x:v>0</x:v>
      </x:c>
      <x:c r="J119" s="17" t="n">
        <x:f>ROUND(F119*E119,0)+H119</x:f>
        <x:v>0</x:v>
      </x:c>
      <x:c r="K119" s="19" t="n">
        <x:v>1</x:v>
      </x:c>
      <x:c r="L119" s="17" t="n">
        <x:v>60000</x:v>
      </x:c>
      <x:c r="M119" s="17" t="n">
        <x:v>0</x:v>
      </x:c>
      <x:c r="N119" s="17" t="n">
        <x:f>ROUND(K119*D119,0)+M119</x:f>
        <x:v>36000</x:v>
      </x:c>
      <x:c r="O119" s="17" t="n">
        <x:f>ROUND(K119*E119,0)+M119</x:f>
        <x:v>36000</x:v>
      </x:c>
      <x:c r="P119" s="21" t="str"/>
      <x:c r="Q119" s="15" t="n">
        <x:v>0</x:v>
      </x:c>
      <x:c r="R119" s="15" t="n">
        <x:v>2</x:v>
      </x:c>
    </x:row>
    <x:row r="120" ht="42" customHeight="1">
      <x:c r="A120" s="22" t="str">
        <x:v>Rastaropsha uni 1000gr</x:v>
      </x:c>
      <x:c r="B120" s="22" t="str">
        <x:v>Rastaropsha uni</x:v>
      </x:c>
      <x:c r="C120" s="16" t="str">
        <x:v>kg</x:v>
      </x:c>
      <x:c r="D120" s="24" t="n">
        <x:f>'PDF narxlari'!G19</x:f>
        <x:v>32000</x:v>
      </x:c>
      <x:c r="E120" s="24" t="n">
        <x:f>'PDF narxlari'!H19</x:f>
        <x:v>32000</x:v>
      </x:c>
      <x:c r="F120" s="20" t="n">
        <x:v>1</x:v>
      </x:c>
      <x:c r="G120" s="18" t="n">
        <x:v>59000</x:v>
      </x:c>
      <x:c r="H120" s="18" t="n">
        <x:v>0</x:v>
      </x:c>
      <x:c r="I120" s="18" t="n">
        <x:f>ROUND(F120*D120,0)+H120</x:f>
        <x:v>32000</x:v>
      </x:c>
      <x:c r="J120" s="18" t="n">
        <x:f>ROUND(F120*E120,0)+H120</x:f>
        <x:v>32000</x:v>
      </x:c>
      <x:c r="K120" s="20" t="n">
        <x:v>1</x:v>
      </x:c>
      <x:c r="L120" s="18" t="n">
        <x:v>59000</x:v>
      </x:c>
      <x:c r="M120" s="18" t="n">
        <x:v>0</x:v>
      </x:c>
      <x:c r="N120" s="18" t="n">
        <x:f>ROUND(K120*D120,0)+M120</x:f>
        <x:v>32000</x:v>
      </x:c>
      <x:c r="O120" s="18" t="n">
        <x:f>ROUND(K120*E120,0)+M120</x:f>
        <x:v>32000</x:v>
      </x:c>
      <x:c r="P120" s="22" t="str"/>
      <x:c r="Q120" s="15" t="n">
        <x:v>1</x:v>
      </x:c>
      <x:c r="R120" s="15" t="n">
        <x:v>1</x:v>
      </x:c>
    </x:row>
    <x:row r="121" ht="42" customHeight="1">
      <x:c r="A121" s="21" t="str">
        <x:v>Qora kunjut 300gr</x:v>
      </x:c>
      <x:c r="B121" s="21" t="str">
        <x:v>Qora kunjut</x:v>
      </x:c>
      <x:c r="C121" s="1" t="str">
        <x:v>kg</x:v>
      </x:c>
      <x:c r="D121" s="23" t="n">
        <x:f>'PDF narxlari'!G36</x:f>
        <x:v>27000</x:v>
      </x:c>
      <x:c r="E121" s="23" t="n">
        <x:f>'PDF narxlari'!H36</x:f>
        <x:v>27000</x:v>
      </x:c>
      <x:c r="F121" s="19" t="n">
        <x:v>0.69</x:v>
      </x:c>
      <x:c r="G121" s="17" t="n">
        <x:v>30380</x:v>
      </x:c>
      <x:c r="H121" s="17" t="n">
        <x:v>0</x:v>
      </x:c>
      <x:c r="I121" s="17" t="n">
        <x:f>ROUND(F121*D121,0)+H121</x:f>
        <x:v>18630</x:v>
      </x:c>
      <x:c r="J121" s="17" t="n">
        <x:f>ROUND(F121*E121,0)+H121</x:f>
        <x:v>18630</x:v>
      </x:c>
      <x:c r="K121" s="19" t="n">
        <x:v>1.29</x:v>
      </x:c>
      <x:c r="L121" s="17" t="n">
        <x:v>56980</x:v>
      </x:c>
      <x:c r="M121" s="17" t="n">
        <x:v>0</x:v>
      </x:c>
      <x:c r="N121" s="17" t="n">
        <x:f>ROUND(K121*D121,0)+M121</x:f>
        <x:v>34830</x:v>
      </x:c>
      <x:c r="O121" s="17" t="n">
        <x:f>ROUND(K121*E121,0)+M121</x:f>
        <x:v>34830</x:v>
      </x:c>
      <x:c r="P121" s="21" t="str">
        <x:v>Kasr miqdor qadoq ulushi sifatida olindi (statistikadagi yozuv bo‘yicha)</x:v>
      </x:c>
      <x:c r="Q121" s="15" t="n">
        <x:v>2.3</x:v>
      </x:c>
      <x:c r="R121" s="15" t="n">
        <x:v>4.3</x:v>
      </x:c>
    </x:row>
    <x:row r="122" ht="42" customHeight="1">
      <x:c r="A122" s="22" t="str">
        <x:v>Qora kunjut 600gr</x:v>
      </x:c>
      <x:c r="B122" s="22" t="str">
        <x:v>Qora kunjut</x:v>
      </x:c>
      <x:c r="C122" s="16" t="str">
        <x:v>kg</x:v>
      </x:c>
      <x:c r="D122" s="24" t="n">
        <x:f>'PDF narxlari'!G36</x:f>
        <x:v>27000</x:v>
      </x:c>
      <x:c r="E122" s="24" t="n">
        <x:f>'PDF narxlari'!H36</x:f>
        <x:v>27000</x:v>
      </x:c>
      <x:c r="F122" s="20" t="n">
        <x:v>0.6</x:v>
      </x:c>
      <x:c r="G122" s="18" t="n">
        <x:v>28000</x:v>
      </x:c>
      <x:c r="H122" s="18" t="n">
        <x:v>0</x:v>
      </x:c>
      <x:c r="I122" s="18" t="n">
        <x:f>ROUND(F122*D122,0)+H122</x:f>
        <x:v>16200</x:v>
      </x:c>
      <x:c r="J122" s="18" t="n">
        <x:f>ROUND(F122*E122,0)+H122</x:f>
        <x:v>16200</x:v>
      </x:c>
      <x:c r="K122" s="20" t="n">
        <x:v>1.2</x:v>
      </x:c>
      <x:c r="L122" s="18" t="n">
        <x:v>53200</x:v>
      </x:c>
      <x:c r="M122" s="18" t="n">
        <x:v>0</x:v>
      </x:c>
      <x:c r="N122" s="18" t="n">
        <x:f>ROUND(K122*D122,0)+M122</x:f>
        <x:v>32400</x:v>
      </x:c>
      <x:c r="O122" s="18" t="n">
        <x:f>ROUND(K122*E122,0)+M122</x:f>
        <x:v>32400</x:v>
      </x:c>
      <x:c r="P122" s="22" t="str"/>
      <x:c r="Q122" s="15" t="n">
        <x:v>1</x:v>
      </x:c>
      <x:c r="R122" s="15" t="n">
        <x:v>2</x:v>
      </x:c>
    </x:row>
    <x:row r="123" ht="42" customHeight="1">
      <x:c r="A123" s="21" t="str">
        <x:v>Kepakli un makaron vermishel 500g</x:v>
      </x:c>
      <x:c r="B123" s="21" t="str">
        <x:v>Narx qo‘llanmagan</x:v>
      </x:c>
      <x:c r="C123" s="1" t="str"/>
      <x:c r="D123" s="23"/>
      <x:c r="E123" s="23"/>
      <x:c r="F123" s="19" t="n">
        <x:v>0</x:v>
      </x:c>
      <x:c r="G123" s="17" t="n">
        <x:v>45000</x:v>
      </x:c>
      <x:c r="H123" s="17" t="n">
        <x:v>45000</x:v>
      </x:c>
      <x:c r="I123" s="17" t="n">
        <x:f>G123</x:f>
        <x:v>45000</x:v>
      </x:c>
      <x:c r="J123" s="17" t="n">
        <x:f>G123</x:f>
        <x:v>45000</x:v>
      </x:c>
      <x:c r="K123" s="19" t="n">
        <x:v>0</x:v>
      </x:c>
      <x:c r="L123" s="17" t="n">
        <x:v>45000</x:v>
      </x:c>
      <x:c r="M123" s="17" t="n">
        <x:v>45000</x:v>
      </x:c>
      <x:c r="N123" s="17" t="n">
        <x:f>L123</x:f>
        <x:v>45000</x:v>
      </x:c>
      <x:c r="O123" s="17" t="n">
        <x:f>L123</x:f>
        <x:v>45000</x:v>
      </x:c>
      <x:c r="P123" s="21" t="str">
        <x:v>PDFda tayyor makaron yo'q</x:v>
      </x:c>
      <x:c r="Q123" s="15" t="n">
        <x:v>3</x:v>
      </x:c>
      <x:c r="R123" s="15" t="n">
        <x:v>3</x:v>
      </x:c>
    </x:row>
    <x:row r="124" ht="42" customHeight="1">
      <x:c r="A124" s="22" t="str">
        <x:v>Oq kunjut 1kg</x:v>
      </x:c>
      <x:c r="B124" s="22" t="str">
        <x:v>Oq kunjut</x:v>
      </x:c>
      <x:c r="C124" s="16" t="str">
        <x:v>kg</x:v>
      </x:c>
      <x:c r="D124" s="24" t="n">
        <x:f>'PDF narxlari'!G35</x:f>
        <x:v>28000</x:v>
      </x:c>
      <x:c r="E124" s="24" t="n">
        <x:f>'PDF narxlari'!H35</x:f>
        <x:v>28000</x:v>
      </x:c>
      <x:c r="F124" s="20" t="n">
        <x:v>0</x:v>
      </x:c>
      <x:c r="G124" s="18" t="n">
        <x:v>0</x:v>
      </x:c>
      <x:c r="H124" s="18" t="n">
        <x:v>0</x:v>
      </x:c>
      <x:c r="I124" s="18" t="n">
        <x:f>ROUND(F124*D124,0)+H124</x:f>
        <x:v>0</x:v>
      </x:c>
      <x:c r="J124" s="18" t="n">
        <x:f>ROUND(F124*E124,0)+H124</x:f>
        <x:v>0</x:v>
      </x:c>
      <x:c r="K124" s="20" t="n">
        <x:v>1</x:v>
      </x:c>
      <x:c r="L124" s="18" t="n">
        <x:v>45000</x:v>
      </x:c>
      <x:c r="M124" s="18" t="n">
        <x:v>0</x:v>
      </x:c>
      <x:c r="N124" s="18" t="n">
        <x:f>ROUND(K124*D124,0)+M124</x:f>
        <x:v>28000</x:v>
      </x:c>
      <x:c r="O124" s="18" t="n">
        <x:f>ROUND(K124*E124,0)+M124</x:f>
        <x:v>28000</x:v>
      </x:c>
      <x:c r="P124" s="22" t="str"/>
      <x:c r="Q124" s="15" t="n">
        <x:v>0</x:v>
      </x:c>
      <x:c r="R124" s="15" t="n">
        <x:v>1</x:v>
      </x:c>
    </x:row>
    <x:row r="125" ht="42" customHeight="1">
      <x:c r="A125" s="21" t="str">
        <x:v>Suli yormasi</x:v>
      </x:c>
      <x:c r="B125" s="21" t="str">
        <x:v>Narx qo‘llanmagan</x:v>
      </x:c>
      <x:c r="C125" s="1" t="str"/>
      <x:c r="D125" s="23"/>
      <x:c r="E125" s="23"/>
      <x:c r="F125" s="19" t="n">
        <x:v>0</x:v>
      </x:c>
      <x:c r="G125" s="17" t="n">
        <x:v>0</x:v>
      </x:c>
      <x:c r="H125" s="17" t="n">
        <x:v>0</x:v>
      </x:c>
      <x:c r="I125" s="17" t="n">
        <x:f>G125</x:f>
        <x:v>0</x:v>
      </x:c>
      <x:c r="J125" s="17" t="n">
        <x:f>G125</x:f>
        <x:v>0</x:v>
      </x:c>
      <x:c r="K125" s="19" t="n">
        <x:v>0</x:v>
      </x:c>
      <x:c r="L125" s="17" t="n">
        <x:v>43500</x:v>
      </x:c>
      <x:c r="M125" s="17" t="n">
        <x:v>43500</x:v>
      </x:c>
      <x:c r="N125" s="17" t="n">
        <x:f>L125</x:f>
        <x:v>43500</x:v>
      </x:c>
      <x:c r="O125" s="17" t="n">
        <x:f>L125</x:f>
        <x:v>43500</x:v>
      </x:c>
      <x:c r="P125" s="21" t="str">
        <x:v>Suli yormasi un bilan bir xil emas</x:v>
      </x:c>
      <x:c r="Q125" s="15" t="n">
        <x:v>0</x:v>
      </x:c>
      <x:c r="R125" s="15" t="n">
        <x:v>3</x:v>
      </x:c>
    </x:row>
    <x:row r="126" ht="42" customHeight="1">
      <x:c r="A126" s="22" t="str">
        <x:v>Olma sirkasi (Toshkent) 5% 500ml</x:v>
      </x:c>
      <x:c r="B126" s="22" t="str">
        <x:v>Olma sirkasi</x:v>
      </x:c>
      <x:c r="C126" s="16" t="str">
        <x:v>l</x:v>
      </x:c>
      <x:c r="D126" s="24" t="n">
        <x:f>'PDF narxlari'!G49</x:f>
        <x:v>64000</x:v>
      </x:c>
      <x:c r="E126" s="24" t="n">
        <x:f>'PDF narxlari'!H49</x:f>
        <x:v>64000</x:v>
      </x:c>
      <x:c r="F126" s="20" t="n">
        <x:v>0.5</x:v>
      </x:c>
      <x:c r="G126" s="18" t="n">
        <x:v>39600</x:v>
      </x:c>
      <x:c r="H126" s="18" t="n">
        <x:v>0</x:v>
      </x:c>
      <x:c r="I126" s="18" t="n">
        <x:f>ROUND(F126*D126,0)+H126</x:f>
        <x:v>32000</x:v>
      </x:c>
      <x:c r="J126" s="18" t="n">
        <x:f>ROUND(F126*E126,0)+H126</x:f>
        <x:v>32000</x:v>
      </x:c>
      <x:c r="K126" s="20" t="n">
        <x:v>0.5</x:v>
      </x:c>
      <x:c r="L126" s="18" t="n">
        <x:v>39600</x:v>
      </x:c>
      <x:c r="M126" s="18" t="n">
        <x:v>0</x:v>
      </x:c>
      <x:c r="N126" s="18" t="n">
        <x:f>ROUND(K126*D126,0)+M126</x:f>
        <x:v>32000</x:v>
      </x:c>
      <x:c r="O126" s="18" t="n">
        <x:f>ROUND(K126*E126,0)+M126</x:f>
        <x:v>32000</x:v>
      </x:c>
      <x:c r="P126" s="22" t="str"/>
      <x:c r="Q126" s="15" t="n">
        <x:v>1</x:v>
      </x:c>
      <x:c r="R126" s="15" t="n">
        <x:v>1</x:v>
      </x:c>
    </x:row>
    <x:row r="127" ht="42" customHeight="1">
      <x:c r="A127" s="21" t="str">
        <x:v>Ovsyanka uni 400g «Кудесница»</x:v>
      </x:c>
      <x:c r="B127" s="21" t="str">
        <x:v>Suli uni</x:v>
      </x:c>
      <x:c r="C127" s="1" t="str">
        <x:v>kg</x:v>
      </x:c>
      <x:c r="D127" s="23" t="n">
        <x:f>'PDF narxlari'!G17</x:f>
        <x:v>13000</x:v>
      </x:c>
      <x:c r="E127" s="23" t="n">
        <x:f>'PDF narxlari'!H17</x:f>
        <x:v>13000</x:v>
      </x:c>
      <x:c r="F127" s="19" t="n">
        <x:v>0.4</x:v>
      </x:c>
      <x:c r="G127" s="17" t="n">
        <x:v>17100</x:v>
      </x:c>
      <x:c r="H127" s="17" t="n">
        <x:v>0</x:v>
      </x:c>
      <x:c r="I127" s="17" t="n">
        <x:f>ROUND(F127*D127,0)+H127</x:f>
        <x:v>5200</x:v>
      </x:c>
      <x:c r="J127" s="17" t="n">
        <x:f>ROUND(F127*E127,0)+H127</x:f>
        <x:v>5200</x:v>
      </x:c>
      <x:c r="K127" s="19" t="n">
        <x:v>0.8</x:v>
      </x:c>
      <x:c r="L127" s="17" t="n">
        <x:v>36100</x:v>
      </x:c>
      <x:c r="M127" s="17" t="n">
        <x:v>0</x:v>
      </x:c>
      <x:c r="N127" s="17" t="n">
        <x:f>ROUND(K127*D127,0)+M127</x:f>
        <x:v>10400</x:v>
      </x:c>
      <x:c r="O127" s="17" t="n">
        <x:f>ROUND(K127*E127,0)+M127</x:f>
        <x:v>10400</x:v>
      </x:c>
      <x:c r="P127" s="21" t="str">
        <x:v>118: brendli un o'rniga shu turdagi xomashyo narxi.</x:v>
      </x:c>
      <x:c r="Q127" s="15" t="n">
        <x:v>1</x:v>
      </x:c>
      <x:c r="R127" s="15" t="n">
        <x:v>2</x:v>
      </x:c>
    </x:row>
    <x:row r="128" ht="42" customHeight="1">
      <x:c r="A128" s="22" t="str">
        <x:v>Grechka unli vermishel makaron 500g</x:v>
      </x:c>
      <x:c r="B128" s="22" t="str">
        <x:v>Narx qo‘llanmagan</x:v>
      </x:c>
      <x:c r="C128" s="16" t="str"/>
      <x:c r="D128" s="24"/>
      <x:c r="E128" s="24"/>
      <x:c r="F128" s="20" t="n">
        <x:v>0</x:v>
      </x:c>
      <x:c r="G128" s="18" t="n">
        <x:v>30000</x:v>
      </x:c>
      <x:c r="H128" s="18" t="n">
        <x:v>30000</x:v>
      </x:c>
      <x:c r="I128" s="18" t="n">
        <x:f>G128</x:f>
        <x:v>30000</x:v>
      </x:c>
      <x:c r="J128" s="18" t="n">
        <x:f>G128</x:f>
        <x:v>30000</x:v>
      </x:c>
      <x:c r="K128" s="20" t="n">
        <x:v>0</x:v>
      </x:c>
      <x:c r="L128" s="18" t="n">
        <x:v>30000</x:v>
      </x:c>
      <x:c r="M128" s="18" t="n">
        <x:v>30000</x:v>
      </x:c>
      <x:c r="N128" s="18" t="n">
        <x:f>L128</x:f>
        <x:v>30000</x:v>
      </x:c>
      <x:c r="O128" s="18" t="n">
        <x:f>L128</x:f>
        <x:v>30000</x:v>
      </x:c>
      <x:c r="P128" s="22" t="str">
        <x:v>PDFda tayyor makaron yo'q</x:v>
      </x:c>
      <x:c r="Q128" s="15" t="n">
        <x:v>2</x:v>
      </x:c>
      <x:c r="R128" s="15" t="n">
        <x:v>2</x:v>
      </x:c>
    </x:row>
    <x:row r="129" ht="42" customHeight="1">
      <x:c r="A129" s="21" t="str">
        <x:v>Makkajo'xori uni 500g «Кудесница»</x:v>
      </x:c>
      <x:c r="B129" s="21" t="str">
        <x:v>Jo'xori uni</x:v>
      </x:c>
      <x:c r="C129" s="1" t="str">
        <x:v>kg</x:v>
      </x:c>
      <x:c r="D129" s="23" t="n">
        <x:f>'PDF narxlari'!G13</x:f>
        <x:v>8000</x:v>
      </x:c>
      <x:c r="E129" s="23" t="n">
        <x:f>'PDF narxlari'!H13</x:f>
        <x:v>8000</x:v>
      </x:c>
      <x:c r="F129" s="19" t="n">
        <x:v>1.5</x:v>
      </x:c>
      <x:c r="G129" s="17" t="n">
        <x:v>27000</x:v>
      </x:c>
      <x:c r="H129" s="17" t="n">
        <x:v>0</x:v>
      </x:c>
      <x:c r="I129" s="17" t="n">
        <x:f>ROUND(F129*D129,0)+H129</x:f>
        <x:v>12000</x:v>
      </x:c>
      <x:c r="J129" s="17" t="n">
        <x:f>ROUND(F129*E129,0)+H129</x:f>
        <x:v>12000</x:v>
      </x:c>
      <x:c r="K129" s="19" t="n">
        <x:v>1.5</x:v>
      </x:c>
      <x:c r="L129" s="17" t="n">
        <x:v>27000</x:v>
      </x:c>
      <x:c r="M129" s="17" t="n">
        <x:v>0</x:v>
      </x:c>
      <x:c r="N129" s="17" t="n">
        <x:f>ROUND(K129*D129,0)+M129</x:f>
        <x:v>12000</x:v>
      </x:c>
      <x:c r="O129" s="17" t="n">
        <x:f>ROUND(K129*E129,0)+M129</x:f>
        <x:v>12000</x:v>
      </x:c>
      <x:c r="P129" s="21" t="str">
        <x:v>112: brendli un o'rniga shu turdagi xomashyo narxi. B2B birligi dona: qadoq soni deb olindi</x:v>
      </x:c>
      <x:c r="Q129" s="15" t="n">
        <x:v>3</x:v>
      </x:c>
      <x:c r="R129" s="15" t="n">
        <x:v>3</x:v>
      </x:c>
    </x:row>
    <x:row r="130" ht="42" customHeight="1">
      <x:c r="A130" s="22" t="str">
        <x:v>Yashil grechka doni 500gr</x:v>
      </x:c>
      <x:c r="B130" s="22" t="str">
        <x:v>Yashil grechka doni</x:v>
      </x:c>
      <x:c r="C130" s="16" t="str">
        <x:v>kg</x:v>
      </x:c>
      <x:c r="D130" s="24" t="n">
        <x:f>'PDF narxlari'!G31</x:f>
        <x:v>27000</x:v>
      </x:c>
      <x:c r="E130" s="24" t="n">
        <x:f>'PDF narxlari'!H31</x:f>
        <x:v>27000</x:v>
      </x:c>
      <x:c r="F130" s="20" t="n">
        <x:v>0.5</x:v>
      </x:c>
      <x:c r="G130" s="18" t="n">
        <x:v>25000</x:v>
      </x:c>
      <x:c r="H130" s="18" t="n">
        <x:v>0</x:v>
      </x:c>
      <x:c r="I130" s="18" t="n">
        <x:f>ROUND(F130*D130,0)+H130</x:f>
        <x:v>13500</x:v>
      </x:c>
      <x:c r="J130" s="18" t="n">
        <x:f>ROUND(F130*E130,0)+H130</x:f>
        <x:v>13500</x:v>
      </x:c>
      <x:c r="K130" s="20" t="n">
        <x:v>0.5</x:v>
      </x:c>
      <x:c r="L130" s="18" t="n">
        <x:v>25000</x:v>
      </x:c>
      <x:c r="M130" s="18" t="n">
        <x:v>0</x:v>
      </x:c>
      <x:c r="N130" s="18" t="n">
        <x:f>ROUND(K130*D130,0)+M130</x:f>
        <x:v>13500</x:v>
      </x:c>
      <x:c r="O130" s="18" t="n">
        <x:f>ROUND(K130*E130,0)+M130</x:f>
        <x:v>13500</x:v>
      </x:c>
      <x:c r="P130" s="22" t="str"/>
      <x:c r="Q130" s="15" t="n">
        <x:v>1</x:v>
      </x:c>
      <x:c r="R130" s="15" t="n">
        <x:v>1</x:v>
      </x:c>
    </x:row>
    <x:row r="131" ht="42" customHeight="1">
      <x:c r="A131" s="21" t="str">
        <x:v>Zig'ir urug'i 1000g</x:v>
      </x:c>
      <x:c r="B131" s="21" t="str">
        <x:v>Zig'ir urug'i</x:v>
      </x:c>
      <x:c r="C131" s="1" t="str">
        <x:v>kg</x:v>
      </x:c>
      <x:c r="D131" s="23" t="n">
        <x:f>'PDF narxlari'!G37</x:f>
        <x:v>17000</x:v>
      </x:c>
      <x:c r="E131" s="23" t="n">
        <x:f>'PDF narxlari'!H37</x:f>
        <x:v>17000</x:v>
      </x:c>
      <x:c r="F131" s="19" t="n">
        <x:v>0</x:v>
      </x:c>
      <x:c r="G131" s="17" t="n">
        <x:v>0</x:v>
      </x:c>
      <x:c r="H131" s="17" t="n">
        <x:v>0</x:v>
      </x:c>
      <x:c r="I131" s="17" t="n">
        <x:f>ROUND(F131*D131,0)+H131</x:f>
        <x:v>0</x:v>
      </x:c>
      <x:c r="J131" s="17" t="n">
        <x:f>ROUND(F131*E131,0)+H131</x:f>
        <x:v>0</x:v>
      </x:c>
      <x:c r="K131" s="19" t="n">
        <x:v>1</x:v>
      </x:c>
      <x:c r="L131" s="17" t="n">
        <x:v>25000</x:v>
      </x:c>
      <x:c r="M131" s="17" t="n">
        <x:v>0</x:v>
      </x:c>
      <x:c r="N131" s="17" t="n">
        <x:f>ROUND(K131*D131,0)+M131</x:f>
        <x:v>17000</x:v>
      </x:c>
      <x:c r="O131" s="17" t="n">
        <x:f>ROUND(K131*E131,0)+M131</x:f>
        <x:v>17000</x:v>
      </x:c>
      <x:c r="P131" s="21" t="str"/>
      <x:c r="Q131" s="15" t="n">
        <x:v>0</x:v>
      </x:c>
      <x:c r="R131" s="15" t="n">
        <x:v>1</x:v>
      </x:c>
    </x:row>
    <x:row r="132" ht="42" customHeight="1">
      <x:c r="A132" s="22" t="str">
        <x:v>Qora fermentlangan Solod 500g</x:v>
      </x:c>
      <x:c r="B132" s="22" t="str">
        <x:v>Solod</x:v>
      </x:c>
      <x:c r="C132" s="16" t="str">
        <x:v>kg</x:v>
      </x:c>
      <x:c r="D132" s="24" t="n">
        <x:f>'PDF narxlari'!G65</x:f>
        <x:v>12000</x:v>
      </x:c>
      <x:c r="E132" s="24" t="n">
        <x:f>'PDF narxlari'!H65</x:f>
        <x:v>12000</x:v>
      </x:c>
      <x:c r="F132" s="20" t="n">
        <x:v>0.5</x:v>
      </x:c>
      <x:c r="G132" s="18" t="n">
        <x:v>12000</x:v>
      </x:c>
      <x:c r="H132" s="18" t="n">
        <x:v>0</x:v>
      </x:c>
      <x:c r="I132" s="18" t="n">
        <x:f>ROUND(F132*D132,0)+H132</x:f>
        <x:v>6000</x:v>
      </x:c>
      <x:c r="J132" s="18" t="n">
        <x:f>ROUND(F132*E132,0)+H132</x:f>
        <x:v>6000</x:v>
      </x:c>
      <x:c r="K132" s="20" t="n">
        <x:v>1</x:v>
      </x:c>
      <x:c r="L132" s="18" t="n">
        <x:v>24000</x:v>
      </x:c>
      <x:c r="M132" s="18" t="n">
        <x:v>0</x:v>
      </x:c>
      <x:c r="N132" s="18" t="n">
        <x:f>ROUND(K132*D132,0)+M132</x:f>
        <x:v>12000</x:v>
      </x:c>
      <x:c r="O132" s="18" t="n">
        <x:f>ROUND(K132*E132,0)+M132</x:f>
        <x:v>12000</x:v>
      </x:c>
      <x:c r="P132" s="22" t="str">
        <x:v>PDFda solod turi ajratilmagan; oq/qora uchun umumiy solod narxi.</x:v>
      </x:c>
      <x:c r="Q132" s="15" t="n">
        <x:v>1</x:v>
      </x:c>
      <x:c r="R132" s="15" t="n">
        <x:v>2</x:v>
      </x:c>
    </x:row>
    <x:row r="133" ht="42" customHeight="1">
      <x:c r="A133" s="21" t="str">
        <x:v>Guruch uni 500g «Кудесница»</x:v>
      </x:c>
      <x:c r="B133" s="21" t="str">
        <x:v>Guruch uni</x:v>
      </x:c>
      <x:c r="C133" s="1" t="str">
        <x:v>kg</x:v>
      </x:c>
      <x:c r="D133" s="23" t="n">
        <x:f>'PDF narxlari'!G11</x:f>
        <x:v>6000</x:v>
      </x:c>
      <x:c r="E133" s="23" t="n">
        <x:f>'PDF narxlari'!H11</x:f>
        <x:v>6000</x:v>
      </x:c>
      <x:c r="F133" s="19" t="n">
        <x:v>0.5</x:v>
      </x:c>
      <x:c r="G133" s="17" t="n">
        <x:v>23400</x:v>
      </x:c>
      <x:c r="H133" s="17" t="n">
        <x:v>0</x:v>
      </x:c>
      <x:c r="I133" s="17" t="n">
        <x:f>ROUND(F133*D133,0)+H133</x:f>
        <x:v>3000</x:v>
      </x:c>
      <x:c r="J133" s="17" t="n">
        <x:f>ROUND(F133*E133,0)+H133</x:f>
        <x:v>3000</x:v>
      </x:c>
      <x:c r="K133" s="19" t="n">
        <x:v>0.5</x:v>
      </x:c>
      <x:c r="L133" s="17" t="n">
        <x:v>23400</x:v>
      </x:c>
      <x:c r="M133" s="17" t="n">
        <x:v>0</x:v>
      </x:c>
      <x:c r="N133" s="17" t="n">
        <x:f>ROUND(K133*D133,0)+M133</x:f>
        <x:v>3000</x:v>
      </x:c>
      <x:c r="O133" s="17" t="n">
        <x:f>ROUND(K133*E133,0)+M133</x:f>
        <x:v>3000</x:v>
      </x:c>
      <x:c r="P133" s="21" t="str">
        <x:v>113: brendli un o'rniga shu turdagi xomashyo narxi.</x:v>
      </x:c>
      <x:c r="Q133" s="15" t="n">
        <x:v>1</x:v>
      </x:c>
      <x:c r="R133" s="15" t="n">
        <x:v>1</x:v>
      </x:c>
    </x:row>
    <x:row r="134" ht="42" customHeight="1">
      <x:c r="A134" s="22" t="str">
        <x:v>zig'ir urug'lari 300gr</x:v>
      </x:c>
      <x:c r="B134" s="22" t="str">
        <x:v>Zig'ir urug'i</x:v>
      </x:c>
      <x:c r="C134" s="16" t="str">
        <x:v>kg</x:v>
      </x:c>
      <x:c r="D134" s="24" t="n">
        <x:f>'PDF narxlari'!G37</x:f>
        <x:v>17000</x:v>
      </x:c>
      <x:c r="E134" s="24" t="n">
        <x:f>'PDF narxlari'!H37</x:f>
        <x:v>17000</x:v>
      </x:c>
      <x:c r="F134" s="20" t="n">
        <x:v>0.6</x:v>
      </x:c>
      <x:c r="G134" s="18" t="n">
        <x:v>22000</x:v>
      </x:c>
      <x:c r="H134" s="18" t="n">
        <x:v>0</x:v>
      </x:c>
      <x:c r="I134" s="18" t="n">
        <x:f>ROUND(F134*D134,0)+H134</x:f>
        <x:v>10200</x:v>
      </x:c>
      <x:c r="J134" s="18" t="n">
        <x:f>ROUND(F134*E134,0)+H134</x:f>
        <x:v>10200</x:v>
      </x:c>
      <x:c r="K134" s="20" t="n">
        <x:v>0.6</x:v>
      </x:c>
      <x:c r="L134" s="18" t="n">
        <x:v>22000</x:v>
      </x:c>
      <x:c r="M134" s="18" t="n">
        <x:v>0</x:v>
      </x:c>
      <x:c r="N134" s="18" t="n">
        <x:f>ROUND(K134*D134,0)+M134</x:f>
        <x:v>10200</x:v>
      </x:c>
      <x:c r="O134" s="18" t="n">
        <x:f>ROUND(K134*E134,0)+M134</x:f>
        <x:v>10200</x:v>
      </x:c>
      <x:c r="P134" s="22" t="str"/>
      <x:c r="Q134" s="15" t="n">
        <x:v>2</x:v>
      </x:c>
      <x:c r="R134" s="15" t="n">
        <x:v>2</x:v>
      </x:c>
    </x:row>
    <x:row r="135" ht="42" customHeight="1">
      <x:c r="A135" s="21" t="str">
        <x:v>Arpabodiyon (fenxel) 100gr</x:v>
      </x:c>
      <x:c r="B135" s="21" t="str">
        <x:v>Narx qo‘llanmagan</x:v>
      </x:c>
      <x:c r="C135" s="1" t="str"/>
      <x:c r="D135" s="23"/>
      <x:c r="E135" s="23"/>
      <x:c r="F135" s="19" t="n">
        <x:v>0</x:v>
      </x:c>
      <x:c r="G135" s="17" t="n">
        <x:v>0</x:v>
      </x:c>
      <x:c r="H135" s="17" t="n">
        <x:v>0</x:v>
      </x:c>
      <x:c r="I135" s="17" t="n">
        <x:f>G135</x:f>
        <x:v>0</x:v>
      </x:c>
      <x:c r="J135" s="17" t="n">
        <x:f>G135</x:f>
        <x:v>0</x:v>
      </x:c>
      <x:c r="K135" s="19" t="n">
        <x:v>0</x:v>
      </x:c>
      <x:c r="L135" s="17" t="n">
        <x:v>19000</x:v>
      </x:c>
      <x:c r="M135" s="17" t="n">
        <x:v>19000</x:v>
      </x:c>
      <x:c r="N135" s="17" t="n">
        <x:f>L135</x:f>
        <x:v>19000</x:v>
      </x:c>
      <x:c r="O135" s="17" t="n">
        <x:f>L135</x:f>
        <x:v>19000</x:v>
      </x:c>
      <x:c r="P135" s="21" t="str">
        <x:v>Fenxel bilan PDFdagi anis bir xil mahsulot emas</x:v>
      </x:c>
      <x:c r="Q135" s="15" t="n">
        <x:v>0</x:v>
      </x:c>
      <x:c r="R135" s="15" t="n">
        <x:v>1</x:v>
      </x:c>
    </x:row>
    <x:row r="136" ht="42" customHeight="1">
      <x:c r="A136" s="22" t="str">
        <x:v>Kepakli bug'doy uni 500g «Кудесница»</x:v>
      </x:c>
      <x:c r="B136" s="22" t="str">
        <x:v>Kepakli bug'doy uni</x:v>
      </x:c>
      <x:c r="C136" s="16" t="str">
        <x:v>kg</x:v>
      </x:c>
      <x:c r="D136" s="24" t="n">
        <x:f>'PDF narxlari'!G10</x:f>
        <x:v>6300</x:v>
      </x:c>
      <x:c r="E136" s="24" t="n">
        <x:f>'PDF narxlari'!H10</x:f>
        <x:v>6300</x:v>
      </x:c>
      <x:c r="F136" s="20" t="n">
        <x:v>0</x:v>
      </x:c>
      <x:c r="G136" s="18" t="n">
        <x:v>0</x:v>
      </x:c>
      <x:c r="H136" s="18" t="n">
        <x:v>0</x:v>
      </x:c>
      <x:c r="I136" s="18" t="n">
        <x:f>ROUND(F136*D136,0)+H136</x:f>
        <x:v>0</x:v>
      </x:c>
      <x:c r="J136" s="18" t="n">
        <x:f>ROUND(F136*E136,0)+H136</x:f>
        <x:v>0</x:v>
      </x:c>
      <x:c r="K136" s="20" t="n">
        <x:v>0.5</x:v>
      </x:c>
      <x:c r="L136" s="18" t="n">
        <x:v>18000</x:v>
      </x:c>
      <x:c r="M136" s="18" t="n">
        <x:v>0</x:v>
      </x:c>
      <x:c r="N136" s="18" t="n">
        <x:f>ROUND(K136*D136,0)+M136</x:f>
        <x:v>3150</x:v>
      </x:c>
      <x:c r="O136" s="18" t="n">
        <x:f>ROUND(K136*E136,0)+M136</x:f>
        <x:v>3150</x:v>
      </x:c>
      <x:c r="P136" s="22" t="str">
        <x:v>115: brendli un o'rniga shu turdagi xomashyo narxi.</x:v>
      </x:c>
      <x:c r="Q136" s="15" t="n">
        <x:v>0</x:v>
      </x:c>
      <x:c r="R136" s="15" t="n">
        <x:v>1</x:v>
      </x:c>
    </x:row>
    <x:row r="137" ht="42" customHeight="1">
      <x:c r="A137" s="21" t="str">
        <x:v>Zig'ir uni 300gr</x:v>
      </x:c>
      <x:c r="B137" s="21" t="str">
        <x:v>Zig'ir uni</x:v>
      </x:c>
      <x:c r="C137" s="1" t="str">
        <x:v>kg</x:v>
      </x:c>
      <x:c r="D137" s="23" t="n">
        <x:f>'PDF narxlari'!G20</x:f>
        <x:v>26000</x:v>
      </x:c>
      <x:c r="E137" s="23" t="n">
        <x:f>'PDF narxlari'!H20</x:f>
        <x:v>26000</x:v>
      </x:c>
      <x:c r="F137" s="19" t="n">
        <x:v>0</x:v>
      </x:c>
      <x:c r="G137" s="17" t="n">
        <x:v>0</x:v>
      </x:c>
      <x:c r="H137" s="17" t="n">
        <x:v>0</x:v>
      </x:c>
      <x:c r="I137" s="17" t="n">
        <x:f>ROUND(F137*D137,0)+H137</x:f>
        <x:v>0</x:v>
      </x:c>
      <x:c r="J137" s="17" t="n">
        <x:f>ROUND(F137*E137,0)+H137</x:f>
        <x:v>0</x:v>
      </x:c>
      <x:c r="K137" s="19" t="n">
        <x:v>0.3</x:v>
      </x:c>
      <x:c r="L137" s="17" t="n">
        <x:v>16000</x:v>
      </x:c>
      <x:c r="M137" s="17" t="n">
        <x:v>0</x:v>
      </x:c>
      <x:c r="N137" s="17" t="n">
        <x:f>ROUND(K137*D137,0)+M137</x:f>
        <x:v>7800</x:v>
      </x:c>
      <x:c r="O137" s="17" t="n">
        <x:f>ROUND(K137*E137,0)+M137</x:f>
        <x:v>7800</x:v>
      </x:c>
      <x:c r="P137" s="21" t="str">
        <x:v>117: brendli un o'rniga shu turdagi xomashyo narxi.</x:v>
      </x:c>
      <x:c r="Q137" s="15" t="n">
        <x:v>0</x:v>
      </x:c>
      <x:c r="R137" s="15" t="n">
        <x:v>1</x:v>
      </x:c>
    </x:row>
    <x:row r="138" ht="42" customHeight="1">
      <x:c r="A138" s="22" t="str">
        <x:v>Ismaloqli makaron vermishel 500g</x:v>
      </x:c>
      <x:c r="B138" s="22" t="str">
        <x:v>Narx qo‘llanmagan</x:v>
      </x:c>
      <x:c r="C138" s="16" t="str"/>
      <x:c r="D138" s="24"/>
      <x:c r="E138" s="24"/>
      <x:c r="F138" s="20" t="n">
        <x:v>0</x:v>
      </x:c>
      <x:c r="G138" s="18" t="n">
        <x:v>15000</x:v>
      </x:c>
      <x:c r="H138" s="18" t="n">
        <x:v>15000</x:v>
      </x:c>
      <x:c r="I138" s="18" t="n">
        <x:f>G138</x:f>
        <x:v>15000</x:v>
      </x:c>
      <x:c r="J138" s="18" t="n">
        <x:f>G138</x:f>
        <x:v>15000</x:v>
      </x:c>
      <x:c r="K138" s="20" t="n">
        <x:v>0</x:v>
      </x:c>
      <x:c r="L138" s="18" t="n">
        <x:v>15000</x:v>
      </x:c>
      <x:c r="M138" s="18" t="n">
        <x:v>15000</x:v>
      </x:c>
      <x:c r="N138" s="18" t="n">
        <x:f>L138</x:f>
        <x:v>15000</x:v>
      </x:c>
      <x:c r="O138" s="18" t="n">
        <x:f>L138</x:f>
        <x:v>15000</x:v>
      </x:c>
      <x:c r="P138" s="22" t="str">
        <x:v>PDFda tayyor makaron yo'q</x:v>
      </x:c>
      <x:c r="Q138" s="15" t="n">
        <x:v>1</x:v>
      </x:c>
      <x:c r="R138" s="15" t="n">
        <x:v>1</x:v>
      </x:c>
    </x:row>
    <x:row r="139" ht="42" customHeight="1">
      <x:c r="A139" s="21" t="str">
        <x:v>Qora sedana 200gr</x:v>
      </x:c>
      <x:c r="B139" s="21" t="str">
        <x:v>Sedana</x:v>
      </x:c>
      <x:c r="C139" s="1" t="str">
        <x:v>kg</x:v>
      </x:c>
      <x:c r="D139" s="23" t="n">
        <x:f>'PDF narxlari'!G39</x:f>
        <x:v>60000</x:v>
      </x:c>
      <x:c r="E139" s="23" t="n">
        <x:f>'PDF narxlari'!H39</x:f>
        <x:v>60000</x:v>
      </x:c>
      <x:c r="F139" s="19" t="n">
        <x:v>0.12</x:v>
      </x:c>
      <x:c r="G139" s="17" t="n">
        <x:v>10260</x:v>
      </x:c>
      <x:c r="H139" s="17" t="n">
        <x:v>0</x:v>
      </x:c>
      <x:c r="I139" s="17" t="n">
        <x:f>ROUND(F139*D139,0)+H139</x:f>
        <x:v>7200</x:v>
      </x:c>
      <x:c r="J139" s="17" t="n">
        <x:f>ROUND(F139*E139,0)+H139</x:f>
        <x:v>7200</x:v>
      </x:c>
      <x:c r="K139" s="19" t="n">
        <x:v>0.12</x:v>
      </x:c>
      <x:c r="L139" s="17" t="n">
        <x:v>10260</x:v>
      </x:c>
      <x:c r="M139" s="17" t="n">
        <x:v>0</x:v>
      </x:c>
      <x:c r="N139" s="17" t="n">
        <x:f>ROUND(K139*D139,0)+M139</x:f>
        <x:v>7200</x:v>
      </x:c>
      <x:c r="O139" s="17" t="n">
        <x:f>ROUND(K139*E139,0)+M139</x:f>
        <x:v>7200</x:v>
      </x:c>
      <x:c r="P139" s="21" t="str">
        <x:v>Kasr miqdor qadoq ulushi sifatida olindi (statistikadagi yozuv bo‘yicha)</x:v>
      </x:c>
      <x:c r="Q139" s="15" t="n">
        <x:v>0.6</x:v>
      </x:c>
      <x:c r="R139" s="15" t="n">
        <x:v>0.6</x:v>
      </x:c>
    </x:row>
    <x:row r="140" ht="25" customHeight="1">
      <x:c r="A140" s="27" t="str">
        <x:v>JAMI</x:v>
      </x:c>
      <x:c r="B140" s="27"/>
      <x:c r="C140" s="27"/>
      <x:c r="D140" s="28"/>
      <x:c r="E140" s="28"/>
      <x:c r="F140" s="28"/>
      <x:c r="G140" s="28" t="n">
        <x:f>SUM(G21:G139)</x:f>
        <x:v>47250510</x:v>
      </x:c>
      <x:c r="H140" s="28" t="n">
        <x:f>SUM(H21:H139)</x:f>
        <x:v>8648000</x:v>
      </x:c>
      <x:c r="I140" s="28" t="n">
        <x:f>SUM(I21:I139)</x:f>
        <x:v>38352543</x:v>
      </x:c>
      <x:c r="J140" s="28" t="n">
        <x:f>SUM(J21:J139)</x:f>
        <x:v>38361543</x:v>
      </x:c>
      <x:c r="K140" s="28"/>
      <x:c r="L140" s="28" t="n">
        <x:f>SUM(L21:L139)</x:f>
        <x:v>75867900</x:v>
      </x:c>
      <x:c r="M140" s="28" t="n">
        <x:f>SUM(M21:M139)</x:f>
        <x:v>12431200</x:v>
      </x:c>
      <x:c r="N140" s="28" t="n">
        <x:f>SUM(N21:N139)</x:f>
        <x:v>60532135</x:v>
      </x:c>
      <x:c r="O140" s="28" t="n">
        <x:f>SUM(O21:O139)</x:f>
        <x:v>60547135</x:v>
      </x:c>
      <x:c r="P140" s="2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55E53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5" hidden="0" customWidth="1"/>
    <x:col min="2" max="2" width="18" hidden="0" customWidth="1"/>
    <x:col min="3" max="3" width="1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2" hidden="0" customWidth="1"/>
    <x:col min="10" max="10" width="70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2" t="str">
        <x:v>PDF narxlari va hisoblash manbalari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5" customHeight="1">
      <x:c r="A3" s="1" t="str">
        <x:v>1 USD, so‘m</x:v>
      </x:c>
      <x:c r="B3" s="9" t="n">
        <x:v>11838.92</x:v>
      </x:c>
      <x:c r="C3" s="1"/>
      <x:c r="D3" s="1" t="str">
        <x:v>Markaziy bank javobidagi sana: 24.10.2026; 25.10 uchun so‘ralgan kurs.</x:v>
      </x:c>
      <x:c r="E3" s="1"/>
      <x:c r="F3" s="1"/>
      <x:c r="G3" s="1"/>
      <x:c r="H3" s="1"/>
      <x:c r="I3" s="1"/>
      <x:c r="J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5" customHeight="1">
      <x:c r="A5" s="1" t="str">
        <x:v>Kurs manbasi: https://cbu.uz/uz/arkhiv-kursov-valyut/json/USD/2026-10-25/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 ht="25" customHeight="1">
      <x:c r="A6" s="1" t="str">
        <x:v>Ikki PDF bir xil narxnomadir; ular alohida savdo sifatida qo‘shilmadi.</x:v>
      </x:c>
      <x:c r="B6" s="1"/>
      <x:c r="C6" s="1"/>
      <x:c r="D6" s="1"/>
      <x:c r="E6" s="1"/>
      <x:c r="F6" s="1"/>
      <x:c r="G6" s="1"/>
      <x:c r="H6" s="1"/>
      <x:c r="I6" s="1"/>
      <x:c r="J6" s="1"/>
    </x:row>
    <x:row r="7" ht="2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40" customHeight="1">
      <x:c r="A8" s="6" t="str">
        <x:v>PDF mahsuloti</x:v>
      </x:c>
      <x:c r="B8" s="6" t="str">
        <x:v>Narx qadoq hajmi</x:v>
      </x:c>
      <x:c r="C8" s="6" t="str">
        <x:v>Birlik</x:v>
      </x:c>
      <x:c r="D8" s="6" t="str">
        <x:v>Quyi narx</x:v>
      </x:c>
      <x:c r="E8" s="6" t="str">
        <x:v>Yuqori narx</x:v>
      </x:c>
      <x:c r="F8" s="6" t="str">
        <x:v>Valyuta</x:v>
      </x:c>
      <x:c r="G8" s="6" t="str">
        <x:v>1 kg/l/dona: quyi, UZS</x:v>
      </x:c>
      <x:c r="H8" s="6" t="str">
        <x:v>1 kg/l/dona: yuqori, UZS</x:v>
      </x:c>
      <x:c r="I8" s="6" t="str">
        <x:v>Sahifa</x:v>
      </x:c>
      <x:c r="J8" s="6" t="str">
        <x:v>Manba</x:v>
      </x:c>
    </x:row>
    <x:row r="9" ht="25" customHeight="1">
      <x:c r="A9" s="1" t="str">
        <x:v>Javdar uni</x:v>
      </x:c>
      <x:c r="B9" s="11" t="n">
        <x:v>1</x:v>
      </x:c>
      <x:c r="C9" s="11" t="str">
        <x:v>kg</x:v>
      </x:c>
      <x:c r="D9" s="12" t="n">
        <x:v>6500</x:v>
      </x:c>
      <x:c r="E9" s="12" t="n">
        <x:v>6500</x:v>
      </x:c>
      <x:c r="F9" s="11" t="str">
        <x:v>UZS</x:v>
      </x:c>
      <x:c r="G9" s="3" t="n">
        <x:f>D9/B9</x:f>
        <x:v>6500</x:v>
      </x:c>
      <x:c r="H9" s="3" t="n">
        <x:f>E9/B9</x:f>
        <x:v>6500</x:v>
      </x:c>
      <x:c r="I9" s="1" t="n">
        <x:v>1</x:v>
      </x:c>
      <x:c r="J9" s="1" t="str">
        <x:v>Olgurji_Narxnoma (2).pdf va Оптовый_Прайс (2).pdf</x:v>
      </x:c>
    </x:row>
    <x:row r="10" ht="25" customHeight="1">
      <x:c r="A10" s="1" t="str">
        <x:v>Kepakli bug'doy uni</x:v>
      </x:c>
      <x:c r="B10" s="11" t="n">
        <x:v>1</x:v>
      </x:c>
      <x:c r="C10" s="11" t="str">
        <x:v>kg</x:v>
      </x:c>
      <x:c r="D10" s="12" t="n">
        <x:v>6300</x:v>
      </x:c>
      <x:c r="E10" s="12" t="n">
        <x:v>6300</x:v>
      </x:c>
      <x:c r="F10" s="11" t="str">
        <x:v>UZS</x:v>
      </x:c>
      <x:c r="G10" s="3" t="n">
        <x:f>D10/B10</x:f>
        <x:v>6300</x:v>
      </x:c>
      <x:c r="H10" s="3" t="n">
        <x:f>E10/B10</x:f>
        <x:v>6300</x:v>
      </x:c>
      <x:c r="I10" s="1" t="n">
        <x:v>1</x:v>
      </x:c>
      <x:c r="J10" s="1" t="str">
        <x:v>Olgurji_Narxnoma (2).pdf va Оптовый_Прайс (2).pdf</x:v>
      </x:c>
    </x:row>
    <x:row r="11" ht="25" customHeight="1">
      <x:c r="A11" s="1" t="str">
        <x:v>Guruch uni</x:v>
      </x:c>
      <x:c r="B11" s="11" t="n">
        <x:v>1</x:v>
      </x:c>
      <x:c r="C11" s="11" t="str">
        <x:v>kg</x:v>
      </x:c>
      <x:c r="D11" s="12" t="n">
        <x:v>6000</x:v>
      </x:c>
      <x:c r="E11" s="12" t="n">
        <x:v>6000</x:v>
      </x:c>
      <x:c r="F11" s="11" t="str">
        <x:v>UZS</x:v>
      </x:c>
      <x:c r="G11" s="3" t="n">
        <x:f>D11/B11</x:f>
        <x:v>6000</x:v>
      </x:c>
      <x:c r="H11" s="3" t="n">
        <x:f>E11/B11</x:f>
        <x:v>6000</x:v>
      </x:c>
      <x:c r="I11" s="1" t="n">
        <x:v>1</x:v>
      </x:c>
      <x:c r="J11" s="1" t="str">
        <x:v>Olgurji_Narxnoma (2).pdf va Оптовый_Прайс (2).pdf</x:v>
      </x:c>
    </x:row>
    <x:row r="12" ht="25" customHeight="1">
      <x:c r="A12" s="1" t="str">
        <x:v>No'xot uni</x:v>
      </x:c>
      <x:c r="B12" s="11" t="n">
        <x:v>1</x:v>
      </x:c>
      <x:c r="C12" s="11" t="str">
        <x:v>kg</x:v>
      </x:c>
      <x:c r="D12" s="12" t="n">
        <x:v>13000</x:v>
      </x:c>
      <x:c r="E12" s="12" t="n">
        <x:v>13000</x:v>
      </x:c>
      <x:c r="F12" s="11" t="str">
        <x:v>UZS</x:v>
      </x:c>
      <x:c r="G12" s="3" t="n">
        <x:f>D12/B12</x:f>
        <x:v>13000</x:v>
      </x:c>
      <x:c r="H12" s="3" t="n">
        <x:f>E12/B12</x:f>
        <x:v>13000</x:v>
      </x:c>
      <x:c r="I12" s="1" t="n">
        <x:v>1</x:v>
      </x:c>
      <x:c r="J12" s="1" t="str">
        <x:v>Olgurji_Narxnoma (2).pdf va Оптовый_Прайс (2).pdf</x:v>
      </x:c>
    </x:row>
    <x:row r="13" ht="25" customHeight="1">
      <x:c r="A13" s="1" t="str">
        <x:v>Jo'xori uni</x:v>
      </x:c>
      <x:c r="B13" s="11" t="n">
        <x:v>1</x:v>
      </x:c>
      <x:c r="C13" s="11" t="str">
        <x:v>kg</x:v>
      </x:c>
      <x:c r="D13" s="12" t="n">
        <x:v>8000</x:v>
      </x:c>
      <x:c r="E13" s="12" t="n">
        <x:v>8000</x:v>
      </x:c>
      <x:c r="F13" s="11" t="str">
        <x:v>UZS</x:v>
      </x:c>
      <x:c r="G13" s="3" t="n">
        <x:f>D13/B13</x:f>
        <x:v>8000</x:v>
      </x:c>
      <x:c r="H13" s="3" t="n">
        <x:f>E13/B13</x:f>
        <x:v>8000</x:v>
      </x:c>
      <x:c r="I13" s="1" t="n">
        <x:v>1</x:v>
      </x:c>
      <x:c r="J13" s="1" t="str">
        <x:v>Olgurji_Narxnoma (2).pdf va Оптовый_Прайс (2).pdf</x:v>
      </x:c>
    </x:row>
    <x:row r="14" ht="25" customHeight="1">
      <x:c r="A14" s="1" t="str">
        <x:v>Grechka uni</x:v>
      </x:c>
      <x:c r="B14" s="11" t="n">
        <x:v>1</x:v>
      </x:c>
      <x:c r="C14" s="11" t="str">
        <x:v>kg</x:v>
      </x:c>
      <x:c r="D14" s="12" t="n">
        <x:v>13000</x:v>
      </x:c>
      <x:c r="E14" s="12" t="n">
        <x:v>13000</x:v>
      </x:c>
      <x:c r="F14" s="11" t="str">
        <x:v>UZS</x:v>
      </x:c>
      <x:c r="G14" s="3" t="n">
        <x:f>D14/B14</x:f>
        <x:v>13000</x:v>
      </x:c>
      <x:c r="H14" s="3" t="n">
        <x:f>E14/B14</x:f>
        <x:v>13000</x:v>
      </x:c>
      <x:c r="I14" s="1" t="n">
        <x:v>1</x:v>
      </x:c>
      <x:c r="J14" s="1" t="str">
        <x:v>Olgurji_Narxnoma (2).pdf va Оптовый_Прайс (2).pdf</x:v>
      </x:c>
    </x:row>
    <x:row r="15" ht="25" customHeight="1">
      <x:c r="A15" s="1" t="str">
        <x:v>Kepak (mayda tegirmon)</x:v>
      </x:c>
      <x:c r="B15" s="11" t="n">
        <x:v>1</x:v>
      </x:c>
      <x:c r="C15" s="11" t="str">
        <x:v>kg</x:v>
      </x:c>
      <x:c r="D15" s="12" t="n">
        <x:v>6000</x:v>
      </x:c>
      <x:c r="E15" s="12" t="n">
        <x:v>6000</x:v>
      </x:c>
      <x:c r="F15" s="11" t="str">
        <x:v>UZS</x:v>
      </x:c>
      <x:c r="G15" s="3" t="n">
        <x:f>D15/B15</x:f>
        <x:v>6000</x:v>
      </x:c>
      <x:c r="H15" s="3" t="n">
        <x:f>E15/B15</x:f>
        <x:v>6000</x:v>
      </x:c>
      <x:c r="I15" s="1" t="n">
        <x:v>1</x:v>
      </x:c>
      <x:c r="J15" s="1" t="str">
        <x:v>Olgurji_Narxnoma (2).pdf va Оптовый_Прайс (2).pdf</x:v>
      </x:c>
    </x:row>
    <x:row r="16" ht="25" customHeight="1">
      <x:c r="A16" s="1" t="str">
        <x:v>Arpa uni</x:v>
      </x:c>
      <x:c r="B16" s="11" t="n">
        <x:v>1</x:v>
      </x:c>
      <x:c r="C16" s="11" t="str">
        <x:v>kg</x:v>
      </x:c>
      <x:c r="D16" s="12" t="n">
        <x:v>8000</x:v>
      </x:c>
      <x:c r="E16" s="12" t="n">
        <x:v>8000</x:v>
      </x:c>
      <x:c r="F16" s="11" t="str">
        <x:v>UZS</x:v>
      </x:c>
      <x:c r="G16" s="3" t="n">
        <x:f>D16/B16</x:f>
        <x:v>8000</x:v>
      </x:c>
      <x:c r="H16" s="3" t="n">
        <x:f>E16/B16</x:f>
        <x:v>8000</x:v>
      </x:c>
      <x:c r="I16" s="1" t="n">
        <x:v>1</x:v>
      </x:c>
      <x:c r="J16" s="1" t="str">
        <x:v>Olgurji_Narxnoma (2).pdf va Оптовый_Прайс (2).pdf</x:v>
      </x:c>
    </x:row>
    <x:row r="17" ht="25" customHeight="1">
      <x:c r="A17" s="1" t="str">
        <x:v>Suli uni</x:v>
      </x:c>
      <x:c r="B17" s="11" t="n">
        <x:v>1</x:v>
      </x:c>
      <x:c r="C17" s="11" t="str">
        <x:v>kg</x:v>
      </x:c>
      <x:c r="D17" s="12" t="n">
        <x:v>13000</x:v>
      </x:c>
      <x:c r="E17" s="12" t="n">
        <x:v>13000</x:v>
      </x:c>
      <x:c r="F17" s="11" t="str">
        <x:v>UZS</x:v>
      </x:c>
      <x:c r="G17" s="3" t="n">
        <x:f>D17/B17</x:f>
        <x:v>13000</x:v>
      </x:c>
      <x:c r="H17" s="3" t="n">
        <x:f>E17/B17</x:f>
        <x:v>13000</x:v>
      </x:c>
      <x:c r="I17" s="1" t="n">
        <x:v>1</x:v>
      </x:c>
      <x:c r="J17" s="1" t="str">
        <x:v>Olgurji_Narxnoma (2).pdf va Оптовый_Прайс (2).pdf</x:v>
      </x:c>
    </x:row>
    <x:row r="18" ht="25" customHeight="1">
      <x:c r="A18" s="1" t="str">
        <x:v>Kokos uni</x:v>
      </x:c>
      <x:c r="B18" s="11" t="n">
        <x:v>1</x:v>
      </x:c>
      <x:c r="C18" s="11" t="str">
        <x:v>kg</x:v>
      </x:c>
      <x:c r="D18" s="12" t="n">
        <x:v>61000</x:v>
      </x:c>
      <x:c r="E18" s="12" t="n">
        <x:v>61000</x:v>
      </x:c>
      <x:c r="F18" s="11" t="str">
        <x:v>UZS</x:v>
      </x:c>
      <x:c r="G18" s="3" t="n">
        <x:f>D18/B18</x:f>
        <x:v>61000</x:v>
      </x:c>
      <x:c r="H18" s="3" t="n">
        <x:f>E18/B18</x:f>
        <x:v>61000</x:v>
      </x:c>
      <x:c r="I18" s="1" t="n">
        <x:v>1</x:v>
      </x:c>
      <x:c r="J18" s="1" t="str">
        <x:v>Olgurji_Narxnoma (2).pdf va Оптовый_Прайс (2).pdf</x:v>
      </x:c>
    </x:row>
    <x:row r="19" ht="25" customHeight="1">
      <x:c r="A19" s="1" t="str">
        <x:v>Rastaropsha uni</x:v>
      </x:c>
      <x:c r="B19" s="11" t="n">
        <x:v>1</x:v>
      </x:c>
      <x:c r="C19" s="11" t="str">
        <x:v>kg</x:v>
      </x:c>
      <x:c r="D19" s="12" t="n">
        <x:v>32000</x:v>
      </x:c>
      <x:c r="E19" s="12" t="n">
        <x:v>32000</x:v>
      </x:c>
      <x:c r="F19" s="11" t="str">
        <x:v>UZS</x:v>
      </x:c>
      <x:c r="G19" s="3" t="n">
        <x:f>D19/B19</x:f>
        <x:v>32000</x:v>
      </x:c>
      <x:c r="H19" s="3" t="n">
        <x:f>E19/B19</x:f>
        <x:v>32000</x:v>
      </x:c>
      <x:c r="I19" s="1" t="n">
        <x:v>1</x:v>
      </x:c>
      <x:c r="J19" s="1" t="str">
        <x:v>Olgurji_Narxnoma (2).pdf va Оптовый_Прайс (2).pdf</x:v>
      </x:c>
    </x:row>
    <x:row r="20" ht="25" customHeight="1">
      <x:c r="A20" s="1" t="str">
        <x:v>Zig'ir uni</x:v>
      </x:c>
      <x:c r="B20" s="11" t="n">
        <x:v>1</x:v>
      </x:c>
      <x:c r="C20" s="11" t="str">
        <x:v>kg</x:v>
      </x:c>
      <x:c r="D20" s="12" t="n">
        <x:v>26000</x:v>
      </x:c>
      <x:c r="E20" s="12" t="n">
        <x:v>26000</x:v>
      </x:c>
      <x:c r="F20" s="11" t="str">
        <x:v>UZS</x:v>
      </x:c>
      <x:c r="G20" s="3" t="n">
        <x:f>D20/B20</x:f>
        <x:v>26000</x:v>
      </x:c>
      <x:c r="H20" s="3" t="n">
        <x:f>E20/B20</x:f>
        <x:v>26000</x:v>
      </x:c>
      <x:c r="I20" s="1" t="n">
        <x:v>1</x:v>
      </x:c>
      <x:c r="J20" s="1" t="str">
        <x:v>Olgurji_Narxnoma (2).pdf va Оптовый_Прайс (2).pdf</x:v>
      </x:c>
    </x:row>
    <x:row r="21" ht="25" customHeight="1">
      <x:c r="A21" s="1" t="str">
        <x:v>Oq zig'ir uni</x:v>
      </x:c>
      <x:c r="B21" s="11" t="n">
        <x:v>1</x:v>
      </x:c>
      <x:c r="C21" s="11" t="str">
        <x:v>kg</x:v>
      </x:c>
      <x:c r="D21" s="12" t="n">
        <x:v>36000</x:v>
      </x:c>
      <x:c r="E21" s="12" t="n">
        <x:v>36000</x:v>
      </x:c>
      <x:c r="F21" s="11" t="str">
        <x:v>UZS</x:v>
      </x:c>
      <x:c r="G21" s="3" t="n">
        <x:f>D21/B21</x:f>
        <x:v>36000</x:v>
      </x:c>
      <x:c r="H21" s="3" t="n">
        <x:f>E21/B21</x:f>
        <x:v>36000</x:v>
      </x:c>
      <x:c r="I21" s="1" t="n">
        <x:v>1</x:v>
      </x:c>
      <x:c r="J21" s="1" t="str">
        <x:v>Olgurji_Narxnoma (2).pdf va Оптовый_Прайс (2).pdf</x:v>
      </x:c>
    </x:row>
    <x:row r="22" ht="25" customHeight="1">
      <x:c r="A22" s="1" t="str">
        <x:v>Polba uni</x:v>
      </x:c>
      <x:c r="B22" s="11" t="n">
        <x:v>1</x:v>
      </x:c>
      <x:c r="C22" s="11" t="str">
        <x:v>kg</x:v>
      </x:c>
      <x:c r="D22" s="12" t="n">
        <x:v>35000</x:v>
      </x:c>
      <x:c r="E22" s="12" t="n">
        <x:v>35000</x:v>
      </x:c>
      <x:c r="F22" s="11" t="str">
        <x:v>UZS</x:v>
      </x:c>
      <x:c r="G22" s="3" t="n">
        <x:f>D22/B22</x:f>
        <x:v>35000</x:v>
      </x:c>
      <x:c r="H22" s="3" t="n">
        <x:f>E22/B22</x:f>
        <x:v>35000</x:v>
      </x:c>
      <x:c r="I22" s="1" t="n">
        <x:v>1</x:v>
      </x:c>
      <x:c r="J22" s="1" t="str">
        <x:v>Olgurji_Narxnoma (2).pdf va Оптовый_Прайс (2).pdf</x:v>
      </x:c>
    </x:row>
    <x:row r="23" ht="25" customHeight="1">
      <x:c r="A23" s="1" t="str">
        <x:v>Fistashka uni</x:v>
      </x:c>
      <x:c r="B23" s="11" t="n">
        <x:v>1</x:v>
      </x:c>
      <x:c r="C23" s="11" t="str">
        <x:v>kg</x:v>
      </x:c>
      <x:c r="D23" s="12" t="n">
        <x:v>340000</x:v>
      </x:c>
      <x:c r="E23" s="12" t="n">
        <x:v>380000</x:v>
      </x:c>
      <x:c r="F23" s="11" t="str">
        <x:v>UZS</x:v>
      </x:c>
      <x:c r="G23" s="3" t="n">
        <x:f>D23/B23</x:f>
        <x:v>340000</x:v>
      </x:c>
      <x:c r="H23" s="3" t="n">
        <x:f>E23/B23</x:f>
        <x:v>380000</x:v>
      </x:c>
      <x:c r="I23" s="1" t="n">
        <x:v>1</x:v>
      </x:c>
      <x:c r="J23" s="1" t="str">
        <x:v>Olgurji_Narxnoma (2).pdf va Оптовый_Прайс (2).pdf</x:v>
      </x:c>
    </x:row>
    <x:row r="24" ht="25" customHeight="1">
      <x:c r="A24" s="1" t="str">
        <x:v>Bodom uni</x:v>
      </x:c>
      <x:c r="B24" s="11" t="n">
        <x:v>1</x:v>
      </x:c>
      <x:c r="C24" s="11" t="str">
        <x:v>kg</x:v>
      </x:c>
      <x:c r="D24" s="12" t="n">
        <x:v>145000</x:v>
      </x:c>
      <x:c r="E24" s="12" t="n">
        <x:v>145000</x:v>
      </x:c>
      <x:c r="F24" s="11" t="str">
        <x:v>UZS</x:v>
      </x:c>
      <x:c r="G24" s="3" t="n">
        <x:f>D24/B24</x:f>
        <x:v>145000</x:v>
      </x:c>
      <x:c r="H24" s="3" t="n">
        <x:f>E24/B24</x:f>
        <x:v>145000</x:v>
      </x:c>
      <x:c r="I24" s="1" t="n">
        <x:v>1</x:v>
      </x:c>
      <x:c r="J24" s="1" t="str">
        <x:v>Olgurji_Narxnoma (2).pdf va Оптовый_Прайс (2).pdf</x:v>
      </x:c>
    </x:row>
    <x:row r="25" ht="25" customHeight="1">
      <x:c r="A25" s="1" t="str">
        <x:v>Yashil grechka uni</x:v>
      </x:c>
      <x:c r="B25" s="11" t="n">
        <x:v>1</x:v>
      </x:c>
      <x:c r="C25" s="11" t="str">
        <x:v>kg</x:v>
      </x:c>
      <x:c r="D25" s="12" t="n">
        <x:v>36000</x:v>
      </x:c>
      <x:c r="E25" s="12" t="n">
        <x:v>36000</x:v>
      </x:c>
      <x:c r="F25" s="11" t="str">
        <x:v>UZS</x:v>
      </x:c>
      <x:c r="G25" s="3" t="n">
        <x:f>D25/B25</x:f>
        <x:v>36000</x:v>
      </x:c>
      <x:c r="H25" s="3" t="n">
        <x:f>E25/B25</x:f>
        <x:v>36000</x:v>
      </x:c>
      <x:c r="I25" s="1" t="n">
        <x:v>1</x:v>
      </x:c>
      <x:c r="J25" s="1" t="str">
        <x:v>Olgurji_Narxnoma (2).pdf va Оптовый_Прайс (2).pdf</x:v>
      </x:c>
    </x:row>
    <x:row r="26" ht="25" customHeight="1">
      <x:c r="A26" s="1" t="str">
        <x:v>Psillium uni</x:v>
      </x:c>
      <x:c r="B26" s="11" t="n">
        <x:v>1</x:v>
      </x:c>
      <x:c r="C26" s="11" t="str">
        <x:v>kg</x:v>
      </x:c>
      <x:c r="D26" s="12" t="n">
        <x:v>220000</x:v>
      </x:c>
      <x:c r="E26" s="12" t="n">
        <x:v>220000</x:v>
      </x:c>
      <x:c r="F26" s="11" t="str">
        <x:v>UZS</x:v>
      </x:c>
      <x:c r="G26" s="3" t="n">
        <x:f>D26/B26</x:f>
        <x:v>220000</x:v>
      </x:c>
      <x:c r="H26" s="3" t="n">
        <x:f>E26/B26</x:f>
        <x:v>220000</x:v>
      </x:c>
      <x:c r="I26" s="1" t="n">
        <x:v>1</x:v>
      </x:c>
      <x:c r="J26" s="1" t="str">
        <x:v>Olgurji_Narxnoma (2).pdf va Оптовый_Прайс (2).pdf</x:v>
      </x:c>
    </x:row>
    <x:row r="27" ht="25" customHeight="1">
      <x:c r="A27" s="1" t="str">
        <x:v>Pokiston guruchi (Sayyam)</x:v>
      </x:c>
      <x:c r="B27" s="11" t="n">
        <x:v>1</x:v>
      </x:c>
      <x:c r="C27" s="11" t="str">
        <x:v>kg</x:v>
      </x:c>
      <x:c r="D27" s="12" t="n">
        <x:v>9000</x:v>
      </x:c>
      <x:c r="E27" s="12" t="n">
        <x:v>9000</x:v>
      </x:c>
      <x:c r="F27" s="11" t="str">
        <x:v>UZS</x:v>
      </x:c>
      <x:c r="G27" s="3" t="n">
        <x:f>D27/B27</x:f>
        <x:v>9000</x:v>
      </x:c>
      <x:c r="H27" s="3" t="n">
        <x:f>E27/B27</x:f>
        <x:v>9000</x:v>
      </x:c>
      <x:c r="I27" s="1" t="n">
        <x:v>2</x:v>
      </x:c>
      <x:c r="J27" s="1" t="str">
        <x:v>Olgurji_Narxnoma (2).pdf va Оптовый_Прайс (2).pdf</x:v>
      </x:c>
    </x:row>
    <x:row r="28" ht="25" customHeight="1">
      <x:c r="A28" s="1" t="str">
        <x:v>Devzira guruchi</x:v>
      </x:c>
      <x:c r="B28" s="11" t="n">
        <x:v>1</x:v>
      </x:c>
      <x:c r="C28" s="11" t="str">
        <x:v>kg</x:v>
      </x:c>
      <x:c r="D28" s="12" t="n">
        <x:v>45000</x:v>
      </x:c>
      <x:c r="E28" s="12" t="n">
        <x:v>45000</x:v>
      </x:c>
      <x:c r="F28" s="11" t="str">
        <x:v>UZS</x:v>
      </x:c>
      <x:c r="G28" s="3" t="n">
        <x:f>D28/B28</x:f>
        <x:v>45000</x:v>
      </x:c>
      <x:c r="H28" s="3" t="n">
        <x:f>E28/B28</x:f>
        <x:v>45000</x:v>
      </x:c>
      <x:c r="I28" s="1" t="n">
        <x:v>2</x:v>
      </x:c>
      <x:c r="J28" s="1" t="str">
        <x:v>Olgurji_Narxnoma (2).pdf va Оптовый_Прайс (2).pdf</x:v>
      </x:c>
    </x:row>
    <x:row r="29" ht="25" customHeight="1">
      <x:c r="A29" s="1" t="str">
        <x:v>Qora guruch</x:v>
      </x:c>
      <x:c r="B29" s="11" t="n">
        <x:v>1</x:v>
      </x:c>
      <x:c r="C29" s="11" t="str">
        <x:v>kg</x:v>
      </x:c>
      <x:c r="D29" s="12" t="n">
        <x:v>115000</x:v>
      </x:c>
      <x:c r="E29" s="12" t="n">
        <x:v>115000</x:v>
      </x:c>
      <x:c r="F29" s="11" t="str">
        <x:v>UZS</x:v>
      </x:c>
      <x:c r="G29" s="3" t="n">
        <x:f>D29/B29</x:f>
        <x:v>115000</x:v>
      </x:c>
      <x:c r="H29" s="3" t="n">
        <x:f>E29/B29</x:f>
        <x:v>115000</x:v>
      </x:c>
      <x:c r="I29" s="1" t="n">
        <x:v>2</x:v>
      </x:c>
      <x:c r="J29" s="1" t="str">
        <x:v>Olgurji_Narxnoma (2).pdf va Оптовый_Прайс (2).pdf</x:v>
      </x:c>
    </x:row>
    <x:row r="30" ht="25" customHeight="1">
      <x:c r="A30" s="1" t="str">
        <x:v>Basmati</x:v>
      </x:c>
      <x:c r="B30" s="11" t="n">
        <x:v>0.9</x:v>
      </x:c>
      <x:c r="C30" s="11" t="str">
        <x:v>kg</x:v>
      </x:c>
      <x:c r="D30" s="12" t="n">
        <x:v>25000</x:v>
      </x:c>
      <x:c r="E30" s="12" t="n">
        <x:v>25000</x:v>
      </x:c>
      <x:c r="F30" s="11" t="str">
        <x:v>UZS</x:v>
      </x:c>
      <x:c r="G30" s="3" t="n">
        <x:f>D30/B30</x:f>
        <x:v>27777.777777777777</x:v>
      </x:c>
      <x:c r="H30" s="3" t="n">
        <x:f>E30/B30</x:f>
        <x:v>27777.777777777777</x:v>
      </x:c>
      <x:c r="I30" s="1" t="n">
        <x:v>2</x:v>
      </x:c>
      <x:c r="J30" s="1" t="str">
        <x:v>Olgurji_Narxnoma (2).pdf va Оптовый_Прайс (2).pdf</x:v>
      </x:c>
    </x:row>
    <x:row r="31" ht="25" customHeight="1">
      <x:c r="A31" s="1" t="str">
        <x:v>Yashil grechka doni</x:v>
      </x:c>
      <x:c r="B31" s="11" t="n">
        <x:v>1</x:v>
      </x:c>
      <x:c r="C31" s="11" t="str">
        <x:v>kg</x:v>
      </x:c>
      <x:c r="D31" s="12" t="n">
        <x:v>27000</x:v>
      </x:c>
      <x:c r="E31" s="12" t="n">
        <x:v>27000</x:v>
      </x:c>
      <x:c r="F31" s="11" t="str">
        <x:v>UZS</x:v>
      </x:c>
      <x:c r="G31" s="3" t="n">
        <x:f>D31/B31</x:f>
        <x:v>27000</x:v>
      </x:c>
      <x:c r="H31" s="3" t="n">
        <x:f>E31/B31</x:f>
        <x:v>27000</x:v>
      </x:c>
      <x:c r="I31" s="1" t="n">
        <x:v>2</x:v>
      </x:c>
      <x:c r="J31" s="1" t="str">
        <x:v>Olgurji_Narxnoma (2).pdf va Оптовый_Прайс (2).pdf</x:v>
      </x:c>
    </x:row>
    <x:row r="32" ht="25" customHeight="1">
      <x:c r="A32" s="1" t="str">
        <x:v>Bulgur</x:v>
      </x:c>
      <x:c r="B32" s="11" t="n">
        <x:v>1</x:v>
      </x:c>
      <x:c r="C32" s="11" t="str">
        <x:v>kg</x:v>
      </x:c>
      <x:c r="D32" s="12" t="n">
        <x:v>21000</x:v>
      </x:c>
      <x:c r="E32" s="12" t="n">
        <x:v>21000</x:v>
      </x:c>
      <x:c r="F32" s="11" t="str">
        <x:v>UZS</x:v>
      </x:c>
      <x:c r="G32" s="3" t="n">
        <x:f>D32/B32</x:f>
        <x:v>21000</x:v>
      </x:c>
      <x:c r="H32" s="3" t="n">
        <x:f>E32/B32</x:f>
        <x:v>21000</x:v>
      </x:c>
      <x:c r="I32" s="1" t="n">
        <x:v>2</x:v>
      </x:c>
      <x:c r="J32" s="1" t="str">
        <x:v>Olgurji_Narxnoma (2).pdf va Оптовый_Прайс (2).pdf</x:v>
      </x:c>
    </x:row>
    <x:row r="33" ht="25" customHeight="1">
      <x:c r="A33" s="1" t="str">
        <x:v>Kinoa</x:v>
      </x:c>
      <x:c r="B33" s="11" t="n">
        <x:v>1</x:v>
      </x:c>
      <x:c r="C33" s="11" t="str">
        <x:v>kg</x:v>
      </x:c>
      <x:c r="D33" s="12" t="n">
        <x:v>100000</x:v>
      </x:c>
      <x:c r="E33" s="12" t="n">
        <x:v>100000</x:v>
      </x:c>
      <x:c r="F33" s="11" t="str">
        <x:v>UZS</x:v>
      </x:c>
      <x:c r="G33" s="3" t="n">
        <x:f>D33/B33</x:f>
        <x:v>100000</x:v>
      </x:c>
      <x:c r="H33" s="3" t="n">
        <x:f>E33/B33</x:f>
        <x:v>100000</x:v>
      </x:c>
      <x:c r="I33" s="1" t="n">
        <x:v>2</x:v>
      </x:c>
      <x:c r="J33" s="1" t="str">
        <x:v>Olgurji_Narxnoma (2).pdf va Оптовый_Прайс (2).pdf</x:v>
      </x:c>
    </x:row>
    <x:row r="34" ht="25" customHeight="1">
      <x:c r="A34" s="1" t="str">
        <x:v>Pista mag'zi</x:v>
      </x:c>
      <x:c r="B34" s="11" t="n">
        <x:v>1</x:v>
      </x:c>
      <x:c r="C34" s="11" t="str">
        <x:v>kg</x:v>
      </x:c>
      <x:c r="D34" s="12" t="n">
        <x:v>22000</x:v>
      </x:c>
      <x:c r="E34" s="12" t="n">
        <x:v>22000</x:v>
      </x:c>
      <x:c r="F34" s="11" t="str">
        <x:v>UZS</x:v>
      </x:c>
      <x:c r="G34" s="3" t="n">
        <x:f>D34/B34</x:f>
        <x:v>22000</x:v>
      </x:c>
      <x:c r="H34" s="3" t="n">
        <x:f>E34/B34</x:f>
        <x:v>22000</x:v>
      </x:c>
      <x:c r="I34" s="1" t="n">
        <x:v>2</x:v>
      </x:c>
      <x:c r="J34" s="1" t="str">
        <x:v>Olgurji_Narxnoma (2).pdf va Оптовый_Прайс (2).pdf</x:v>
      </x:c>
    </x:row>
    <x:row r="35" ht="25" customHeight="1">
      <x:c r="A35" s="1" t="str">
        <x:v>Oq kunjut</x:v>
      </x:c>
      <x:c r="B35" s="11" t="n">
        <x:v>1</x:v>
      </x:c>
      <x:c r="C35" s="11" t="str">
        <x:v>kg</x:v>
      </x:c>
      <x:c r="D35" s="12" t="n">
        <x:v>28000</x:v>
      </x:c>
      <x:c r="E35" s="12" t="n">
        <x:v>28000</x:v>
      </x:c>
      <x:c r="F35" s="11" t="str">
        <x:v>UZS</x:v>
      </x:c>
      <x:c r="G35" s="3" t="n">
        <x:f>D35/B35</x:f>
        <x:v>28000</x:v>
      </x:c>
      <x:c r="H35" s="3" t="n">
        <x:f>E35/B35</x:f>
        <x:v>28000</x:v>
      </x:c>
      <x:c r="I35" s="1" t="n">
        <x:v>2</x:v>
      </x:c>
      <x:c r="J35" s="1" t="str">
        <x:v>Olgurji_Narxnoma (2).pdf va Оптовый_Прайс (2).pdf</x:v>
      </x:c>
    </x:row>
    <x:row r="36" ht="25" customHeight="1">
      <x:c r="A36" s="1" t="str">
        <x:v>Qora kunjut</x:v>
      </x:c>
      <x:c r="B36" s="11" t="n">
        <x:v>1</x:v>
      </x:c>
      <x:c r="C36" s="11" t="str">
        <x:v>kg</x:v>
      </x:c>
      <x:c r="D36" s="12" t="n">
        <x:v>27000</x:v>
      </x:c>
      <x:c r="E36" s="12" t="n">
        <x:v>27000</x:v>
      </x:c>
      <x:c r="F36" s="11" t="str">
        <x:v>UZS</x:v>
      </x:c>
      <x:c r="G36" s="3" t="n">
        <x:f>D36/B36</x:f>
        <x:v>27000</x:v>
      </x:c>
      <x:c r="H36" s="3" t="n">
        <x:f>E36/B36</x:f>
        <x:v>27000</x:v>
      </x:c>
      <x:c r="I36" s="1" t="n">
        <x:v>2</x:v>
      </x:c>
      <x:c r="J36" s="1" t="str">
        <x:v>Olgurji_Narxnoma (2).pdf va Оптовый_Прайс (2).pdf</x:v>
      </x:c>
    </x:row>
    <x:row r="37" ht="25" customHeight="1">
      <x:c r="A37" s="1" t="str">
        <x:v>Zig'ir urug'i</x:v>
      </x:c>
      <x:c r="B37" s="11" t="n">
        <x:v>1</x:v>
      </x:c>
      <x:c r="C37" s="11" t="str">
        <x:v>kg</x:v>
      </x:c>
      <x:c r="D37" s="12" t="n">
        <x:v>17000</x:v>
      </x:c>
      <x:c r="E37" s="12" t="n">
        <x:v>17000</x:v>
      </x:c>
      <x:c r="F37" s="11" t="str">
        <x:v>UZS</x:v>
      </x:c>
      <x:c r="G37" s="3" t="n">
        <x:f>D37/B37</x:f>
        <x:v>17000</x:v>
      </x:c>
      <x:c r="H37" s="3" t="n">
        <x:f>E37/B37</x:f>
        <x:v>17000</x:v>
      </x:c>
      <x:c r="I37" s="1" t="n">
        <x:v>2</x:v>
      </x:c>
      <x:c r="J37" s="1" t="str">
        <x:v>Olgurji_Narxnoma (2).pdf va Оптовый_Прайс (2).pdf</x:v>
      </x:c>
    </x:row>
    <x:row r="38" ht="25" customHeight="1">
      <x:c r="A38" s="1" t="str">
        <x:v>Chia urug'i</x:v>
      </x:c>
      <x:c r="B38" s="11" t="n">
        <x:v>1</x:v>
      </x:c>
      <x:c r="C38" s="11" t="str">
        <x:v>kg</x:v>
      </x:c>
      <x:c r="D38" s="12" t="n">
        <x:v>57000</x:v>
      </x:c>
      <x:c r="E38" s="12" t="n">
        <x:v>57000</x:v>
      </x:c>
      <x:c r="F38" s="11" t="str">
        <x:v>UZS</x:v>
      </x:c>
      <x:c r="G38" s="3" t="n">
        <x:f>D38/B38</x:f>
        <x:v>57000</x:v>
      </x:c>
      <x:c r="H38" s="3" t="n">
        <x:f>E38/B38</x:f>
        <x:v>57000</x:v>
      </x:c>
      <x:c r="I38" s="1" t="n">
        <x:v>2</x:v>
      </x:c>
      <x:c r="J38" s="1" t="str">
        <x:v>Olgurji_Narxnoma (2).pdf va Оптовый_Прайс (2).pdf</x:v>
      </x:c>
    </x:row>
    <x:row r="39" ht="25" customHeight="1">
      <x:c r="A39" s="1" t="str">
        <x:v>Sedana</x:v>
      </x:c>
      <x:c r="B39" s="11" t="n">
        <x:v>1</x:v>
      </x:c>
      <x:c r="C39" s="11" t="str">
        <x:v>kg</x:v>
      </x:c>
      <x:c r="D39" s="12" t="n">
        <x:v>60000</x:v>
      </x:c>
      <x:c r="E39" s="12" t="n">
        <x:v>60000</x:v>
      </x:c>
      <x:c r="F39" s="11" t="str">
        <x:v>UZS</x:v>
      </x:c>
      <x:c r="G39" s="3" t="n">
        <x:f>D39/B39</x:f>
        <x:v>60000</x:v>
      </x:c>
      <x:c r="H39" s="3" t="n">
        <x:f>E39/B39</x:f>
        <x:v>60000</x:v>
      </x:c>
      <x:c r="I39" s="1" t="n">
        <x:v>2</x:v>
      </x:c>
      <x:c r="J39" s="1" t="str">
        <x:v>Olgurji_Narxnoma (2).pdf va Оптовый_Прайс (2).pdf</x:v>
      </x:c>
    </x:row>
    <x:row r="40" ht="25" customHeight="1">
      <x:c r="A40" s="1" t="str">
        <x:v>Qovoq urug'i (O'zbekiston)</x:v>
      </x:c>
      <x:c r="B40" s="11" t="n">
        <x:v>1</x:v>
      </x:c>
      <x:c r="C40" s="11" t="str">
        <x:v>kg</x:v>
      </x:c>
      <x:c r="D40" s="12" t="n">
        <x:v>210000</x:v>
      </x:c>
      <x:c r="E40" s="12" t="n">
        <x:v>210000</x:v>
      </x:c>
      <x:c r="F40" s="11" t="str">
        <x:v>UZS</x:v>
      </x:c>
      <x:c r="G40" s="3" t="n">
        <x:f>D40/B40</x:f>
        <x:v>210000</x:v>
      </x:c>
      <x:c r="H40" s="3" t="n">
        <x:f>E40/B40</x:f>
        <x:v>210000</x:v>
      </x:c>
      <x:c r="I40" s="1" t="n">
        <x:v>2</x:v>
      </x:c>
      <x:c r="J40" s="1" t="str">
        <x:v>Olgurji_Narxnoma (2).pdf va Оптовый_Прайс (2).pdf</x:v>
      </x:c>
    </x:row>
    <x:row r="41" ht="25" customHeight="1">
      <x:c r="A41" s="1" t="str">
        <x:v>Arpabodiyon</x:v>
      </x:c>
      <x:c r="B41" s="11" t="n">
        <x:v>1</x:v>
      </x:c>
      <x:c r="C41" s="11" t="str">
        <x:v>kg</x:v>
      </x:c>
      <x:c r="D41" s="12" t="n">
        <x:v>60000</x:v>
      </x:c>
      <x:c r="E41" s="12" t="n">
        <x:v>60000</x:v>
      </x:c>
      <x:c r="F41" s="11" t="str">
        <x:v>UZS</x:v>
      </x:c>
      <x:c r="G41" s="3" t="n">
        <x:f>D41/B41</x:f>
        <x:v>60000</x:v>
      </x:c>
      <x:c r="H41" s="3" t="n">
        <x:f>E41/B41</x:f>
        <x:v>60000</x:v>
      </x:c>
      <x:c r="I41" s="1" t="n">
        <x:v>2</x:v>
      </x:c>
      <x:c r="J41" s="1" t="str">
        <x:v>Olgurji_Narxnoma (2).pdf va Оптовый_Прайс (2).pdf</x:v>
      </x:c>
    </x:row>
    <x:row r="42" ht="25" customHeight="1">
      <x:c r="A42" s="1" t="str">
        <x:v>Rastaropsha urug‘i</x:v>
      </x:c>
      <x:c r="B42" s="11" t="n">
        <x:v>1</x:v>
      </x:c>
      <x:c r="C42" s="11" t="str">
        <x:v>kg</x:v>
      </x:c>
      <x:c r="D42" s="12" t="n">
        <x:v>40000</x:v>
      </x:c>
      <x:c r="E42" s="12" t="n">
        <x:v>40000</x:v>
      </x:c>
      <x:c r="F42" s="11" t="str">
        <x:v>UZS</x:v>
      </x:c>
      <x:c r="G42" s="3" t="n">
        <x:f>D42/B42</x:f>
        <x:v>40000</x:v>
      </x:c>
      <x:c r="H42" s="3" t="n">
        <x:f>E42/B42</x:f>
        <x:v>40000</x:v>
      </x:c>
      <x:c r="I42" s="1" t="n">
        <x:v>2</x:v>
      </x:c>
      <x:c r="J42" s="1" t="str">
        <x:v>Olgurji_Narxnoma (2).pdf va Оптовый_Прайс (2).pdf</x:v>
      </x:c>
    </x:row>
    <x:row r="43" ht="25" customHeight="1">
      <x:c r="A43" s="1" t="str">
        <x:v>Zaytun yog'i (Extra Virgin)</x:v>
      </x:c>
      <x:c r="B43" s="11" t="n">
        <x:v>0.5</x:v>
      </x:c>
      <x:c r="C43" s="11" t="str">
        <x:v>kg</x:v>
      </x:c>
      <x:c r="D43" s="12" t="n">
        <x:v>52000</x:v>
      </x:c>
      <x:c r="E43" s="12" t="n">
        <x:v>52000</x:v>
      </x:c>
      <x:c r="F43" s="11" t="str">
        <x:v>UZS</x:v>
      </x:c>
      <x:c r="G43" s="3" t="n">
        <x:f>D43/B43</x:f>
        <x:v>104000</x:v>
      </x:c>
      <x:c r="H43" s="3" t="n">
        <x:f>E43/B43</x:f>
        <x:v>104000</x:v>
      </x:c>
      <x:c r="I43" s="1" t="n">
        <x:v>2</x:v>
      </x:c>
      <x:c r="J43" s="1" t="str">
        <x:v>Olgurji_Narxnoma (2).pdf va Оптовый_Прайс (2).pdf</x:v>
      </x:c>
    </x:row>
    <x:row r="44" ht="25" customHeight="1">
      <x:c r="A44" s="1" t="str">
        <x:v>Zaytun yog'i (Pomace)</x:v>
      </x:c>
      <x:c r="B44" s="11" t="n">
        <x:v>1</x:v>
      </x:c>
      <x:c r="C44" s="11" t="str">
        <x:v>l</x:v>
      </x:c>
      <x:c r="D44" s="12" t="n">
        <x:v>65000</x:v>
      </x:c>
      <x:c r="E44" s="12" t="n">
        <x:v>65000</x:v>
      </x:c>
      <x:c r="F44" s="11" t="str">
        <x:v>UZS</x:v>
      </x:c>
      <x:c r="G44" s="3" t="n">
        <x:f>D44/B44</x:f>
        <x:v>65000</x:v>
      </x:c>
      <x:c r="H44" s="3" t="n">
        <x:f>E44/B44</x:f>
        <x:v>65000</x:v>
      </x:c>
      <x:c r="I44" s="1" t="n">
        <x:v>2</x:v>
      </x:c>
      <x:c r="J44" s="1" t="str">
        <x:v>Olgurji_Narxnoma (2).pdf va Оптовый_Прайс (2).pdf</x:v>
      </x:c>
    </x:row>
    <x:row r="45" ht="25" customHeight="1">
      <x:c r="A45" s="1" t="str">
        <x:v>Zaytun yog'i (Pantheon)</x:v>
      </x:c>
      <x:c r="B45" s="11" t="n">
        <x:v>5</x:v>
      </x:c>
      <x:c r="C45" s="11" t="str">
        <x:v>l</x:v>
      </x:c>
      <x:c r="D45" s="12" t="n">
        <x:v>225000</x:v>
      </x:c>
      <x:c r="E45" s="12" t="n">
        <x:v>225000</x:v>
      </x:c>
      <x:c r="F45" s="11" t="str">
        <x:v>UZS</x:v>
      </x:c>
      <x:c r="G45" s="3" t="n">
        <x:f>D45/B45</x:f>
        <x:v>45000</x:v>
      </x:c>
      <x:c r="H45" s="3" t="n">
        <x:f>E45/B45</x:f>
        <x:v>45000</x:v>
      </x:c>
      <x:c r="I45" s="1" t="n">
        <x:v>2</x:v>
      </x:c>
      <x:c r="J45" s="1" t="str">
        <x:v>Olgurji_Narxnoma (2).pdf va Оптовый_Прайс (2).pdf</x:v>
      </x:c>
    </x:row>
    <x:row r="46" ht="25" customHeight="1">
      <x:c r="A46" s="1" t="str">
        <x:v>Zaytun yog'i (Muelolivia)</x:v>
      </x:c>
      <x:c r="B46" s="11" t="n">
        <x:v>5</x:v>
      </x:c>
      <x:c r="C46" s="11" t="str">
        <x:v>l</x:v>
      </x:c>
      <x:c r="D46" s="12" t="n">
        <x:v>306000</x:v>
      </x:c>
      <x:c r="E46" s="12" t="n">
        <x:v>306000</x:v>
      </x:c>
      <x:c r="F46" s="11" t="str">
        <x:v>UZS</x:v>
      </x:c>
      <x:c r="G46" s="3" t="n">
        <x:f>D46/B46</x:f>
        <x:v>61200</x:v>
      </x:c>
      <x:c r="H46" s="3" t="n">
        <x:f>E46/B46</x:f>
        <x:v>61200</x:v>
      </x:c>
      <x:c r="I46" s="1" t="n">
        <x:v>2</x:v>
      </x:c>
      <x:c r="J46" s="1" t="str">
        <x:v>Olgurji_Narxnoma (2).pdf va Оптовый_Прайс (2).pdf</x:v>
      </x:c>
    </x:row>
    <x:row r="47" ht="25" customHeight="1">
      <x:c r="A47" s="1" t="str">
        <x:v>Kokos yog'i</x:v>
      </x:c>
      <x:c r="B47" s="11" t="n">
        <x:v>0.45</x:v>
      </x:c>
      <x:c r="C47" s="11" t="str">
        <x:v>l</x:v>
      </x:c>
      <x:c r="D47" s="12" t="n">
        <x:v>117000</x:v>
      </x:c>
      <x:c r="E47" s="12" t="n">
        <x:v>117000</x:v>
      </x:c>
      <x:c r="F47" s="11" t="str">
        <x:v>UZS</x:v>
      </x:c>
      <x:c r="G47" s="3" t="n">
        <x:f>D47/B47</x:f>
        <x:v>260000</x:v>
      </x:c>
      <x:c r="H47" s="3" t="n">
        <x:f>E47/B47</x:f>
        <x:v>260000</x:v>
      </x:c>
      <x:c r="I47" s="1" t="n">
        <x:v>2</x:v>
      </x:c>
      <x:c r="J47" s="1" t="str">
        <x:v>Olgurji_Narxnoma (2).pdf va Оптовый_Прайс (2).pdf</x:v>
      </x:c>
    </x:row>
    <x:row r="48" ht="25" customHeight="1">
      <x:c r="A48" s="1" t="str">
        <x:v>Ghee</x:v>
      </x:c>
      <x:c r="B48" s="11" t="n">
        <x:v>1</x:v>
      </x:c>
      <x:c r="C48" s="11" t="str">
        <x:v>l</x:v>
      </x:c>
      <x:c r="D48" s="12" t="n">
        <x:v>95000</x:v>
      </x:c>
      <x:c r="E48" s="12" t="n">
        <x:v>95000</x:v>
      </x:c>
      <x:c r="F48" s="11" t="str">
        <x:v>UZS</x:v>
      </x:c>
      <x:c r="G48" s="3" t="n">
        <x:f>D48/B48</x:f>
        <x:v>95000</x:v>
      </x:c>
      <x:c r="H48" s="3" t="n">
        <x:f>E48/B48</x:f>
        <x:v>95000</x:v>
      </x:c>
      <x:c r="I48" s="1" t="n">
        <x:v>2</x:v>
      </x:c>
      <x:c r="J48" s="1" t="str">
        <x:v>Olgurji_Narxnoma (2).pdf va Оптовый_Прайс (2).pdf</x:v>
      </x:c>
    </x:row>
    <x:row r="49" ht="25" customHeight="1">
      <x:c r="A49" s="1" t="str">
        <x:v>Olma sirkasi</x:v>
      </x:c>
      <x:c r="B49" s="11" t="n">
        <x:v>0.25</x:v>
      </x:c>
      <x:c r="C49" s="11" t="str">
        <x:v>l</x:v>
      </x:c>
      <x:c r="D49" s="12" t="n">
        <x:v>16000</x:v>
      </x:c>
      <x:c r="E49" s="12" t="n">
        <x:v>16000</x:v>
      </x:c>
      <x:c r="F49" s="11" t="str">
        <x:v>UZS</x:v>
      </x:c>
      <x:c r="G49" s="3" t="n">
        <x:f>D49/B49</x:f>
        <x:v>64000</x:v>
      </x:c>
      <x:c r="H49" s="3" t="n">
        <x:f>E49/B49</x:f>
        <x:v>64000</x:v>
      </x:c>
      <x:c r="I49" s="1" t="n">
        <x:v>2</x:v>
      </x:c>
      <x:c r="J49" s="1" t="str">
        <x:v>Olgurji_Narxnoma (2).pdf va Оптовый_Прайс (2).pdf</x:v>
      </x:c>
    </x:row>
    <x:row r="50" ht="25" customHeight="1">
      <x:c r="A50" s="1" t="str">
        <x:v>Sof stevia</x:v>
      </x:c>
      <x:c r="B50" s="11" t="n">
        <x:v>1</x:v>
      </x:c>
      <x:c r="C50" s="11" t="str">
        <x:v>kg</x:v>
      </x:c>
      <x:c r="D50" s="12" t="n">
        <x:v>110</x:v>
      </x:c>
      <x:c r="E50" s="12" t="n">
        <x:v>110</x:v>
      </x:c>
      <x:c r="F50" s="11" t="str">
        <x:v>USD</x:v>
      </x:c>
      <x:c r="G50" s="3" t="n">
        <x:f>D50/B50*$B$3</x:f>
        <x:v>1302281.2</x:v>
      </x:c>
      <x:c r="H50" s="3" t="n">
        <x:f>E50/B50*$B$3</x:f>
        <x:v>1302281.2</x:v>
      </x:c>
      <x:c r="I50" s="1" t="n">
        <x:v>3</x:v>
      </x:c>
      <x:c r="J50" s="1" t="str">
        <x:v>Olgurji_Narxnoma (2).pdf va Оптовый_Прайс (2).pdf</x:v>
      </x:c>
    </x:row>
    <x:row r="51" ht="25" customHeight="1">
      <x:c r="A51" s="1" t="str">
        <x:v>Stevia blend</x:v>
      </x:c>
      <x:c r="B51" s="11" t="n">
        <x:v>1</x:v>
      </x:c>
      <x:c r="C51" s="11" t="str">
        <x:v>kg</x:v>
      </x:c>
      <x:c r="D51" s="12" t="n">
        <x:v>90000</x:v>
      </x:c>
      <x:c r="E51" s="12" t="n">
        <x:v>90000</x:v>
      </x:c>
      <x:c r="F51" s="11" t="str">
        <x:v>UZS</x:v>
      </x:c>
      <x:c r="G51" s="3" t="n">
        <x:f>D51/B51</x:f>
        <x:v>90000</x:v>
      </x:c>
      <x:c r="H51" s="3" t="n">
        <x:f>E51/B51</x:f>
        <x:v>90000</x:v>
      </x:c>
      <x:c r="I51" s="1" t="n">
        <x:v>3</x:v>
      </x:c>
      <x:c r="J51" s="1" t="str">
        <x:v>Olgurji_Narxnoma (2).pdf va Оптовый_Прайс (2).pdf</x:v>
      </x:c>
    </x:row>
    <x:row r="52" ht="25" customHeight="1">
      <x:c r="A52" s="1" t="str">
        <x:v>Eritritol</x:v>
      </x:c>
      <x:c r="B52" s="11" t="n">
        <x:v>1</x:v>
      </x:c>
      <x:c r="C52" s="11" t="str">
        <x:v>kg</x:v>
      </x:c>
      <x:c r="D52" s="12" t="n">
        <x:v>75000</x:v>
      </x:c>
      <x:c r="E52" s="12" t="n">
        <x:v>75000</x:v>
      </x:c>
      <x:c r="F52" s="11" t="str">
        <x:v>UZS</x:v>
      </x:c>
      <x:c r="G52" s="3" t="n">
        <x:f>D52/B52</x:f>
        <x:v>75000</x:v>
      </x:c>
      <x:c r="H52" s="3" t="n">
        <x:f>E52/B52</x:f>
        <x:v>75000</x:v>
      </x:c>
      <x:c r="I52" s="1" t="n">
        <x:v>3</x:v>
      </x:c>
      <x:c r="J52" s="1" t="str">
        <x:v>Olgurji_Narxnoma (2).pdf va Оптовый_Прайс (2).pdf</x:v>
      </x:c>
    </x:row>
    <x:row r="53" ht="25" customHeight="1">
      <x:c r="A53" s="1" t="str">
        <x:v>Alluloza</x:v>
      </x:c>
      <x:c r="B53" s="11" t="n">
        <x:v>1</x:v>
      </x:c>
      <x:c r="C53" s="11" t="str">
        <x:v>kg</x:v>
      </x:c>
      <x:c r="D53" s="12" t="n">
        <x:v>220000</x:v>
      </x:c>
      <x:c r="E53" s="12" t="n">
        <x:v>220000</x:v>
      </x:c>
      <x:c r="F53" s="11" t="str">
        <x:v>UZS</x:v>
      </x:c>
      <x:c r="G53" s="3" t="n">
        <x:f>D53/B53</x:f>
        <x:v>220000</x:v>
      </x:c>
      <x:c r="H53" s="3" t="n">
        <x:f>E53/B53</x:f>
        <x:v>220000</x:v>
      </x:c>
      <x:c r="I53" s="1" t="n">
        <x:v>3</x:v>
      </x:c>
      <x:c r="J53" s="1" t="str">
        <x:v>Olgurji_Narxnoma (2).pdf va Оптовый_Прайс (2).pdf</x:v>
      </x:c>
    </x:row>
    <x:row r="54" ht="25" customHeight="1">
      <x:c r="A54" s="1" t="str">
        <x:v>Kokos shakari</x:v>
      </x:c>
      <x:c r="B54" s="11" t="n">
        <x:v>1</x:v>
      </x:c>
      <x:c r="C54" s="11" t="str">
        <x:v>kg</x:v>
      </x:c>
      <x:c r="D54" s="12" t="n">
        <x:v>179000</x:v>
      </x:c>
      <x:c r="E54" s="12" t="n">
        <x:v>179000</x:v>
      </x:c>
      <x:c r="F54" s="11" t="str">
        <x:v>UZS</x:v>
      </x:c>
      <x:c r="G54" s="3" t="n">
        <x:f>D54/B54</x:f>
        <x:v>179000</x:v>
      </x:c>
      <x:c r="H54" s="3" t="n">
        <x:f>E54/B54</x:f>
        <x:v>179000</x:v>
      </x:c>
      <x:c r="I54" s="1" t="n">
        <x:v>3</x:v>
      </x:c>
      <x:c r="J54" s="1" t="str">
        <x:v>Olgurji_Narxnoma (2).pdf va Оптовый_Прайс (2).pdf</x:v>
      </x:c>
    </x:row>
    <x:row r="55" ht="25" customHeight="1">
      <x:c r="A55" s="1" t="str">
        <x:v>Agava Organic Light</x:v>
      </x:c>
      <x:c r="B55" s="11" t="n">
        <x:v>1</x:v>
      </x:c>
      <x:c r="C55" s="11" t="str">
        <x:v>kg</x:v>
      </x:c>
      <x:c r="D55" s="12" t="n">
        <x:v>150000</x:v>
      </x:c>
      <x:c r="E55" s="12" t="n">
        <x:v>150000</x:v>
      </x:c>
      <x:c r="F55" s="11" t="str">
        <x:v>UZS</x:v>
      </x:c>
      <x:c r="G55" s="3" t="n">
        <x:f>D55/B55</x:f>
        <x:v>150000</x:v>
      </x:c>
      <x:c r="H55" s="3" t="n">
        <x:f>E55/B55</x:f>
        <x:v>150000</x:v>
      </x:c>
      <x:c r="I55" s="1" t="n">
        <x:v>3</x:v>
      </x:c>
      <x:c r="J55" s="1" t="str">
        <x:v>Olgurji_Narxnoma (2).pdf va Оптовый_Прайс (2).pdf</x:v>
      </x:c>
    </x:row>
    <x:row r="56" ht="25" customHeight="1">
      <x:c r="A56" s="1" t="str">
        <x:v>Agava Organic Dark</x:v>
      </x:c>
      <x:c r="B56" s="11" t="n">
        <x:v>1</x:v>
      </x:c>
      <x:c r="C56" s="11" t="str">
        <x:v>kg</x:v>
      </x:c>
      <x:c r="D56" s="12" t="n">
        <x:v>150000</x:v>
      </x:c>
      <x:c r="E56" s="12" t="n">
        <x:v>150000</x:v>
      </x:c>
      <x:c r="F56" s="11" t="str">
        <x:v>UZS</x:v>
      </x:c>
      <x:c r="G56" s="3" t="n">
        <x:f>D56/B56</x:f>
        <x:v>150000</x:v>
      </x:c>
      <x:c r="H56" s="3" t="n">
        <x:f>E56/B56</x:f>
        <x:v>150000</x:v>
      </x:c>
      <x:c r="I56" s="1" t="n">
        <x:v>3</x:v>
      </x:c>
      <x:c r="J56" s="1" t="str">
        <x:v>Olgurji_Narxnoma (2).pdf va Оптовый_Прайс (2).pdf</x:v>
      </x:c>
    </x:row>
    <x:row r="57" ht="25" customHeight="1">
      <x:c r="A57" s="1" t="str">
        <x:v>Asal</x:v>
      </x:c>
      <x:c r="B57" s="11" t="n">
        <x:v>1</x:v>
      </x:c>
      <x:c r="C57" s="11" t="str">
        <x:v>kg</x:v>
      </x:c>
      <x:c r="D57" s="12" t="n">
        <x:v>105000</x:v>
      </x:c>
      <x:c r="E57" s="12" t="n">
        <x:v>105000</x:v>
      </x:c>
      <x:c r="F57" s="11" t="str">
        <x:v>UZS</x:v>
      </x:c>
      <x:c r="G57" s="3" t="n">
        <x:f>D57/B57</x:f>
        <x:v>105000</x:v>
      </x:c>
      <x:c r="H57" s="3" t="n">
        <x:f>E57/B57</x:f>
        <x:v>105000</x:v>
      </x:c>
      <x:c r="I57" s="1" t="n">
        <x:v>3</x:v>
      </x:c>
      <x:c r="J57" s="1" t="str">
        <x:v>Olgurji_Narxnoma (2).pdf va Оптовый_Прайс (2).pdf</x:v>
      </x:c>
    </x:row>
    <x:row r="58" ht="25" customHeight="1">
      <x:c r="A58" s="1" t="str">
        <x:v>Fistashka pastasi</x:v>
      </x:c>
      <x:c r="B58" s="11" t="n">
        <x:v>0.2</x:v>
      </x:c>
      <x:c r="C58" s="11" t="str">
        <x:v>kg</x:v>
      </x:c>
      <x:c r="D58" s="12" t="n">
        <x:v>85000</x:v>
      </x:c>
      <x:c r="E58" s="12" t="n">
        <x:v>85000</x:v>
      </x:c>
      <x:c r="F58" s="11" t="str">
        <x:v>UZS</x:v>
      </x:c>
      <x:c r="G58" s="3" t="n">
        <x:f>D58/B58</x:f>
        <x:v>425000</x:v>
      </x:c>
      <x:c r="H58" s="3" t="n">
        <x:f>E58/B58</x:f>
        <x:v>425000</x:v>
      </x:c>
      <x:c r="I58" s="1" t="n">
        <x:v>3</x:v>
      </x:c>
      <x:c r="J58" s="1" t="str">
        <x:v>Olgurji_Narxnoma (2).pdf va Оптовый_Прайс (2).pdf</x:v>
      </x:c>
    </x:row>
    <x:row r="59" ht="25" customHeight="1">
      <x:c r="A59" s="1" t="str">
        <x:v>Yeryong'oq pastasi</x:v>
      </x:c>
      <x:c r="B59" s="11" t="n">
        <x:v>0.2</x:v>
      </x:c>
      <x:c r="C59" s="11" t="str">
        <x:v>kg</x:v>
      </x:c>
      <x:c r="D59" s="12" t="n">
        <x:v>19000</x:v>
      </x:c>
      <x:c r="E59" s="12" t="n">
        <x:v>22000</x:v>
      </x:c>
      <x:c r="F59" s="11" t="str">
        <x:v>UZS</x:v>
      </x:c>
      <x:c r="G59" s="3" t="n">
        <x:f>D59/B59</x:f>
        <x:v>95000</x:v>
      </x:c>
      <x:c r="H59" s="3" t="n">
        <x:f>E59/B59</x:f>
        <x:v>110000</x:v>
      </x:c>
      <x:c r="I59" s="1" t="n">
        <x:v>3</x:v>
      </x:c>
      <x:c r="J59" s="1" t="str">
        <x:v>Olgurji_Narxnoma (2).pdf va Оптовый_Прайс (2).pdf</x:v>
      </x:c>
    </x:row>
    <x:row r="60" ht="25" customHeight="1">
      <x:c r="A60" s="1" t="str">
        <x:v>Kokos slivkasi</x:v>
      </x:c>
      <x:c r="B60" s="11" t="n">
        <x:v>0.4</x:v>
      </x:c>
      <x:c r="C60" s="11" t="str">
        <x:v>l</x:v>
      </x:c>
      <x:c r="D60" s="12" t="n">
        <x:v>33000</x:v>
      </x:c>
      <x:c r="E60" s="12" t="n">
        <x:v>33000</x:v>
      </x:c>
      <x:c r="F60" s="11" t="str">
        <x:v>UZS</x:v>
      </x:c>
      <x:c r="G60" s="3" t="n">
        <x:f>D60/B60</x:f>
        <x:v>82500</x:v>
      </x:c>
      <x:c r="H60" s="3" t="n">
        <x:f>E60/B60</x:f>
        <x:v>82500</x:v>
      </x:c>
      <x:c r="I60" s="1" t="n">
        <x:v>3</x:v>
      </x:c>
      <x:c r="J60" s="1" t="str">
        <x:v>Olgurji_Narxnoma (2).pdf va Оптовый_Прайс (2).pdf</x:v>
      </x:c>
    </x:row>
    <x:row r="61" ht="25" customHeight="1">
      <x:c r="A61" s="1" t="str">
        <x:v>Kokos strujkasi</x:v>
      </x:c>
      <x:c r="B61" s="11" t="n">
        <x:v>1</x:v>
      </x:c>
      <x:c r="C61" s="11" t="str">
        <x:v>kg</x:v>
      </x:c>
      <x:c r="D61" s="12" t="n">
        <x:v>53000</x:v>
      </x:c>
      <x:c r="E61" s="12" t="n">
        <x:v>53000</x:v>
      </x:c>
      <x:c r="F61" s="11" t="str">
        <x:v>UZS</x:v>
      </x:c>
      <x:c r="G61" s="3" t="n">
        <x:f>D61/B61</x:f>
        <x:v>53000</x:v>
      </x:c>
      <x:c r="H61" s="3" t="n">
        <x:f>E61/B61</x:f>
        <x:v>53000</x:v>
      </x:c>
      <x:c r="I61" s="1" t="n">
        <x:v>3</x:v>
      </x:c>
      <x:c r="J61" s="1" t="str">
        <x:v>Olgurji_Narxnoma (2).pdf va Оптовый_Прайс (2).pdf</x:v>
      </x:c>
    </x:row>
    <x:row r="62" ht="25" customHeight="1">
      <x:c r="A62" s="1" t="str">
        <x:v>Kokos chipslari</x:v>
      </x:c>
      <x:c r="B62" s="11" t="n">
        <x:v>1</x:v>
      </x:c>
      <x:c r="C62" s="11" t="str">
        <x:v>kg</x:v>
      </x:c>
      <x:c r="D62" s="12" t="n">
        <x:v>160000</x:v>
      </x:c>
      <x:c r="E62" s="12" t="n">
        <x:v>160000</x:v>
      </x:c>
      <x:c r="F62" s="11" t="str">
        <x:v>UZS</x:v>
      </x:c>
      <x:c r="G62" s="3" t="n">
        <x:f>D62/B62</x:f>
        <x:v>160000</x:v>
      </x:c>
      <x:c r="H62" s="3" t="n">
        <x:f>E62/B62</x:f>
        <x:v>160000</x:v>
      </x:c>
      <x:c r="I62" s="1" t="n">
        <x:v>3</x:v>
      </x:c>
      <x:c r="J62" s="1" t="str">
        <x:v>Olgurji_Narxnoma (2).pdf va Оптовый_Прайс (2).pdf</x:v>
      </x:c>
    </x:row>
    <x:row r="63" ht="25" customHeight="1">
      <x:c r="A63" s="1" t="str">
        <x:v>Psillium sheluxasi</x:v>
      </x:c>
      <x:c r="B63" s="11" t="n">
        <x:v>1</x:v>
      </x:c>
      <x:c r="C63" s="11" t="str">
        <x:v>kg</x:v>
      </x:c>
      <x:c r="D63" s="12" t="n">
        <x:v>210000</x:v>
      </x:c>
      <x:c r="E63" s="12" t="n">
        <x:v>210000</x:v>
      </x:c>
      <x:c r="F63" s="11" t="str">
        <x:v>UZS</x:v>
      </x:c>
      <x:c r="G63" s="3" t="n">
        <x:f>D63/B63</x:f>
        <x:v>210000</x:v>
      </x:c>
      <x:c r="H63" s="3" t="n">
        <x:f>E63/B63</x:f>
        <x:v>210000</x:v>
      </x:c>
      <x:c r="I63" s="1" t="n">
        <x:v>3</x:v>
      </x:c>
      <x:c r="J63" s="1" t="str">
        <x:v>Olgurji_Narxnoma (2).pdf va Оптовый_Прайс (2).pdf</x:v>
      </x:c>
    </x:row>
    <x:row r="64" ht="25" customHeight="1">
      <x:c r="A64" s="1" t="str">
        <x:v>Xamirturush (ruscha PDF: quruq)</x:v>
      </x:c>
      <x:c r="B64" s="11" t="n">
        <x:v>1</x:v>
      </x:c>
      <x:c r="C64" s="11" t="str">
        <x:v>dona</x:v>
      </x:c>
      <x:c r="D64" s="12" t="n">
        <x:v>39000</x:v>
      </x:c>
      <x:c r="E64" s="12" t="n">
        <x:v>39000</x:v>
      </x:c>
      <x:c r="F64" s="11" t="str">
        <x:v>UZS</x:v>
      </x:c>
      <x:c r="G64" s="3" t="n">
        <x:f>D64/B64</x:f>
        <x:v>39000</x:v>
      </x:c>
      <x:c r="H64" s="3" t="n">
        <x:f>E64/B64</x:f>
        <x:v>39000</x:v>
      </x:c>
      <x:c r="I64" s="1" t="n">
        <x:v>3</x:v>
      </x:c>
      <x:c r="J64" s="1" t="str">
        <x:v>Olgurji_Narxnoma (2).pdf va Оптовый_Прайс (2).pdf</x:v>
      </x:c>
    </x:row>
    <x:row r="65" ht="25" customHeight="1">
      <x:c r="A65" s="1" t="str">
        <x:v>Solod</x:v>
      </x:c>
      <x:c r="B65" s="11" t="n">
        <x:v>1</x:v>
      </x:c>
      <x:c r="C65" s="11" t="str">
        <x:v>kg</x:v>
      </x:c>
      <x:c r="D65" s="12" t="n">
        <x:v>12000</x:v>
      </x:c>
      <x:c r="E65" s="12" t="n">
        <x:v>12000</x:v>
      </x:c>
      <x:c r="F65" s="11" t="str">
        <x:v>UZS</x:v>
      </x:c>
      <x:c r="G65" s="3" t="n">
        <x:f>D65/B65</x:f>
        <x:v>12000</x:v>
      </x:c>
      <x:c r="H65" s="3" t="n">
        <x:f>E65/B65</x:f>
        <x:v>12000</x:v>
      </x:c>
      <x:c r="I65" s="1" t="n">
        <x:v>3</x:v>
      </x:c>
      <x:c r="J65" s="1" t="str">
        <x:v>Olgurji_Narxnoma (2).pdf va Оптовый_Прайс (2).pdf</x:v>
      </x:c>
    </x:row>
    <x:row r="66" ht="25" customHeight="1">
      <x:c r="A66" s="1" t="str">
        <x:v>Ksantan kamedi</x:v>
      </x:c>
      <x:c r="B66" s="11" t="n">
        <x:v>1</x:v>
      </x:c>
      <x:c r="C66" s="11" t="str">
        <x:v>kg</x:v>
      </x:c>
      <x:c r="D66" s="12" t="n">
        <x:v>55000</x:v>
      </x:c>
      <x:c r="E66" s="12" t="n">
        <x:v>55000</x:v>
      </x:c>
      <x:c r="F66" s="11" t="str">
        <x:v>UZS</x:v>
      </x:c>
      <x:c r="G66" s="3" t="n">
        <x:f>D66/B66</x:f>
        <x:v>55000</x:v>
      </x:c>
      <x:c r="H66" s="3" t="n">
        <x:f>E66/B66</x:f>
        <x:v>55000</x:v>
      </x:c>
      <x:c r="I66" s="1" t="n">
        <x:v>3</x:v>
      </x:c>
      <x:c r="J66" s="1" t="str">
        <x:v>Olgurji_Narxnoma (2).pdf va Оптовый_Прайс (2).pdf</x:v>
      </x:c>
    </x:row>
    <x:row r="67" ht="25" customHeight="1">
      <x:c r="A67" s="1" t="str">
        <x:v>Kakao NIBS</x:v>
      </x:c>
      <x:c r="B67" s="11" t="n">
        <x:v>1</x:v>
      </x:c>
      <x:c r="C67" s="11" t="str">
        <x:v>kg</x:v>
      </x:c>
      <x:c r="D67" s="12" t="n">
        <x:v>230000</x:v>
      </x:c>
      <x:c r="E67" s="12" t="n">
        <x:v>230000</x:v>
      </x:c>
      <x:c r="F67" s="11" t="str">
        <x:v>UZS</x:v>
      </x:c>
      <x:c r="G67" s="3" t="n">
        <x:f>D67/B67</x:f>
        <x:v>230000</x:v>
      </x:c>
      <x:c r="H67" s="3" t="n">
        <x:f>E67/B67</x:f>
        <x:v>230000</x:v>
      </x:c>
      <x:c r="I67" s="1" t="n">
        <x:v>3</x:v>
      </x:c>
      <x:c r="J67" s="1" t="str">
        <x:v>Olgurji_Narxnoma (2).pdf va Оптовый_Прайс (2).pdf</x:v>
      </x:c>
    </x:row>
    <x:row r="68" ht="25" customHeight="1">
      <x:c r="A68" s="1" t="str">
        <x:v>Gimalay tuzi</x:v>
      </x:c>
      <x:c r="B68" s="11" t="n">
        <x:v>1</x:v>
      </x:c>
      <x:c r="C68" s="11" t="str">
        <x:v>kg</x:v>
      </x:c>
      <x:c r="D68" s="12" t="n">
        <x:v>20000</x:v>
      </x:c>
      <x:c r="E68" s="12" t="n">
        <x:v>20000</x:v>
      </x:c>
      <x:c r="F68" s="11" t="str">
        <x:v>UZS</x:v>
      </x:c>
      <x:c r="G68" s="3" t="n">
        <x:f>D68/B68</x:f>
        <x:v>20000</x:v>
      </x:c>
      <x:c r="H68" s="3" t="n">
        <x:f>E68/B68</x:f>
        <x:v>20000</x:v>
      </x:c>
      <x:c r="I68" s="1" t="n">
        <x:v>3</x:v>
      </x:c>
      <x:c r="J68" s="1" t="str">
        <x:v>Olgurji_Narxnoma (2).pdf va Оптовый_Прайс (2).pdf</x:v>
      </x:c>
    </x:row>
    <x:row r="69" ht="2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 ht="2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</x:sheetData>
  <x:pageMargins left="0.7" right="0.7" top="0.75" bottom="0.75" header="0.3" footer="0.3"/>
</x:worksheet>
</file>